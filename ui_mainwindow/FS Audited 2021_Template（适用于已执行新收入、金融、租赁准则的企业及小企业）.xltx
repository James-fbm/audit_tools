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workbookPr/>
  <mc:AlternateContent xmlns:mc="http://schemas.openxmlformats.org/markup-compatibility/2006">
    <mc:Choice Requires="x15">
      <x15ac:absPath xmlns:x15ac="http://schemas.microsoft.com/office/spreadsheetml/2010/11/ac" url="C:\Users\a1595\Desktop\audit_tools\ui_mainwindow\"/>
    </mc:Choice>
  </mc:AlternateContent>
  <xr:revisionPtr revIDLastSave="0" documentId="8_{DFE84242-4EF3-45E9-A0FA-C66E9A5E52F3}" xr6:coauthVersionLast="47" xr6:coauthVersionMax="47" xr10:uidLastSave="{00000000-0000-0000-0000-000000000000}"/>
  <bookViews>
    <workbookView xWindow="-110" yWindow="-110" windowWidth="25820" windowHeight="13900" tabRatio="788" activeTab="10" xr2:uid="{00000000-000D-0000-FFFF-FFFF00000000}"/>
  </bookViews>
  <sheets>
    <sheet name="Basic" sheetId="1" r:id="rId1"/>
    <sheet name="1-BS_CN" sheetId="6" r:id="rId2"/>
    <sheet name="1-BS_EN" sheetId="2" r:id="rId3"/>
    <sheet name="2-PL_CN" sheetId="7" r:id="rId4"/>
    <sheet name="2-PL_EN" sheetId="3" r:id="rId5"/>
    <sheet name="3-CF_CN+EN" sheetId="9" r:id="rId6"/>
    <sheet name="4-OE_CN" sheetId="8" r:id="rId7"/>
    <sheet name="4-OE_EN" sheetId="5" r:id="rId8"/>
    <sheet name="6-CIT_CN" sheetId="10" r:id="rId9"/>
    <sheet name="6-CIT_EN" sheetId="14" r:id="rId10"/>
    <sheet name="1-BS(SmallBuz)-CN" sheetId="15" r:id="rId11"/>
    <sheet name="1-BS(SmallBuz)-EN" sheetId="17" r:id="rId12"/>
    <sheet name="2-PL(SmallBuz)-CN" sheetId="16" r:id="rId13"/>
    <sheet name="2-PL(SmallBuz)-EN" sheetId="18" r:id="rId14"/>
    <sheet name="境内直接投资外方权益统计表" sheetId="12" state="hidden" r:id="rId15"/>
  </sheets>
  <externalReferences>
    <externalReference r:id="rId16"/>
    <externalReference r:id="rId17"/>
    <externalReference r:id="rId18"/>
    <externalReference r:id="rId19"/>
  </externalReferences>
  <definedNames>
    <definedName name="_13" localSheetId="5">'[1]YS02-02'!#REF!</definedName>
    <definedName name="_13">'[1]YS02-02'!#REF!</definedName>
    <definedName name="_YS1" localSheetId="5">#REF!</definedName>
    <definedName name="_YS1">#REF!</definedName>
    <definedName name="_YS2" localSheetId="5">'[1]YS02-02'!#REF!</definedName>
    <definedName name="_YS2">'[1]YS02-02'!#REF!</definedName>
    <definedName name="a" localSheetId="5">#REF!</definedName>
    <definedName name="a">#REF!</definedName>
    <definedName name="_xlnm.Database" localSheetId="5" hidden="1">#REF!</definedName>
    <definedName name="_xlnm.Database" hidden="1">#REF!</definedName>
    <definedName name="fix2000.dbf" localSheetId="5">#REF!</definedName>
    <definedName name="fix2000.dbf">#REF!</definedName>
    <definedName name="fixlj2000.dbf" localSheetId="5">#REF!</definedName>
    <definedName name="fixlj2000.dbf">#REF!</definedName>
    <definedName name="frst" localSheetId="5">#REF!,#REF!</definedName>
    <definedName name="frst">#REF!,#REF!</definedName>
    <definedName name="m">#REF!</definedName>
    <definedName name="n">#REF!</definedName>
    <definedName name="_xlnm.Print_Area" localSheetId="10">'1-BS(SmallBuz)-CN'!$A$1:$F$32</definedName>
    <definedName name="_xlnm.Print_Area" localSheetId="11">'1-BS(SmallBuz)-EN'!$A$1:$F$33</definedName>
    <definedName name="_xlnm.Print_Area" localSheetId="1">'1-BS_CN'!$A$1:$F$47</definedName>
    <definedName name="_xlnm.Print_Area" localSheetId="2">'1-BS_EN'!$A$1:$F$49</definedName>
    <definedName name="_xlnm.Print_Area" localSheetId="13">'2-PL(SmallBuz)-EN'!$A$1:$C$19</definedName>
    <definedName name="_xlnm.Print_Area" localSheetId="4">'2-PL_EN'!$A$1:$E$36</definedName>
    <definedName name="_xlnm.Print_Area" localSheetId="5">'3-CF_CN+EN'!$A$1:$G$50</definedName>
    <definedName name="_xlnm.Print_Area" localSheetId="6">'4-OE_CN'!$A$1:$U$32</definedName>
    <definedName name="_xlnm.Print_Area" localSheetId="7">'4-OE_EN'!$A$1:$U$33</definedName>
    <definedName name="_xlnm.Print_Area" localSheetId="8">'6-CIT_CN'!$A$1:$C$19</definedName>
    <definedName name="_xlnm.Print_Area" localSheetId="9">'6-CIT_EN'!$A$1:$C$19</definedName>
    <definedName name="SAPBEXrevision" hidden="1">1</definedName>
    <definedName name="SAPBEXsysID" hidden="1">"PE4"</definedName>
    <definedName name="SAPBEXwbID" hidden="1">"3Q4R7W3VD66V3CXTGQHGIRCBE"</definedName>
    <definedName name="UFPrn20001231102643" localSheetId="5">#REF!</definedName>
    <definedName name="UFPrn20001231102643">#REF!</definedName>
    <definedName name="UFPrn20030415125820" localSheetId="5">#REF!</definedName>
    <definedName name="UFPrn20030415125820">#REF!</definedName>
    <definedName name="UFPrn20030418201618" localSheetId="5">#REF!</definedName>
    <definedName name="UFPrn20030418201618">#REF!</definedName>
    <definedName name="UFPrn20030418202433" localSheetId="5">#REF!</definedName>
    <definedName name="UFPrn20030418202433">#REF!</definedName>
    <definedName name="zjgch2000.dbf" localSheetId="5">#REF!</definedName>
    <definedName name="zjgch2000.dbf">#REF!</definedName>
    <definedName name="发生额及余额表" localSheetId="5">#REF!</definedName>
    <definedName name="发生额及余额表">#REF!</definedName>
    <definedName name="固定资产及累计折旧明细帐" localSheetId="5">#REF!</definedName>
    <definedName name="固定资产及累计折旧明细帐">#REF!</definedName>
    <definedName name="固定资产清单" localSheetId="5">'[2]清单12.31'!$A$1:$Q$170</definedName>
    <definedName name="固定资产清单">'[2]清单12.31'!$A$1:$Q$170</definedName>
    <definedName name="固清">'[3]清单12.31'!$A$1:$Q$170</definedName>
    <definedName name="固清1">'[4]清单12.31'!$A$1:$Q$170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18" l="1"/>
  <c r="A1" i="16"/>
  <c r="A1" i="17"/>
  <c r="A1" i="15"/>
  <c r="A1" i="14"/>
  <c r="A1" i="10"/>
  <c r="A1" i="5"/>
  <c r="A1" i="8"/>
  <c r="E1" i="9"/>
  <c r="A1" i="9"/>
  <c r="A1" i="3"/>
  <c r="A1" i="7"/>
  <c r="A1" i="2"/>
  <c r="A1" i="6"/>
  <c r="L29" i="5"/>
  <c r="M29" i="5"/>
  <c r="N29" i="5"/>
  <c r="N24" i="5" s="1"/>
  <c r="O29" i="5"/>
  <c r="P29" i="5"/>
  <c r="Q29" i="5"/>
  <c r="U29" i="5" s="1"/>
  <c r="R29" i="5"/>
  <c r="S29" i="5"/>
  <c r="T29" i="5"/>
  <c r="B29" i="5"/>
  <c r="C29" i="5"/>
  <c r="D29" i="5"/>
  <c r="E29" i="5"/>
  <c r="F29" i="5"/>
  <c r="G29" i="5"/>
  <c r="H29" i="5"/>
  <c r="I29" i="5"/>
  <c r="J29" i="5"/>
  <c r="U29" i="8"/>
  <c r="K29" i="8"/>
  <c r="D8" i="3"/>
  <c r="E8" i="3"/>
  <c r="D9" i="3"/>
  <c r="E9" i="3"/>
  <c r="D10" i="3"/>
  <c r="D24" i="3" s="1"/>
  <c r="D27" i="3" s="1"/>
  <c r="E10" i="3"/>
  <c r="D11" i="3"/>
  <c r="E11" i="3"/>
  <c r="D12" i="3"/>
  <c r="E12" i="3"/>
  <c r="D13" i="3"/>
  <c r="E13" i="3"/>
  <c r="D14" i="3"/>
  <c r="E14" i="3"/>
  <c r="D15" i="3"/>
  <c r="E15" i="3"/>
  <c r="D16" i="3"/>
  <c r="E16" i="3"/>
  <c r="D17" i="3"/>
  <c r="E17" i="3"/>
  <c r="D18" i="3"/>
  <c r="E18" i="3"/>
  <c r="D19" i="3"/>
  <c r="E19" i="3"/>
  <c r="D20" i="3"/>
  <c r="E20" i="3"/>
  <c r="D21" i="3"/>
  <c r="E21" i="3"/>
  <c r="D22" i="3"/>
  <c r="E22" i="3"/>
  <c r="D23" i="3"/>
  <c r="E23" i="3"/>
  <c r="C24" i="7"/>
  <c r="B24" i="7"/>
  <c r="B27" i="7"/>
  <c r="B29" i="7"/>
  <c r="J14" i="8" s="1"/>
  <c r="E40" i="2"/>
  <c r="F40" i="2"/>
  <c r="E41" i="2"/>
  <c r="F41" i="2"/>
  <c r="E42" i="2"/>
  <c r="F42" i="2"/>
  <c r="E43" i="2"/>
  <c r="F43" i="2"/>
  <c r="E44" i="2"/>
  <c r="F44" i="2"/>
  <c r="F39" i="2"/>
  <c r="E39" i="2"/>
  <c r="F38" i="2"/>
  <c r="E38" i="2"/>
  <c r="F37" i="2"/>
  <c r="E37" i="2"/>
  <c r="F36" i="2"/>
  <c r="E36" i="2"/>
  <c r="F35" i="2"/>
  <c r="F45" i="2" s="1"/>
  <c r="E35" i="2"/>
  <c r="E45" i="2" s="1"/>
  <c r="F34" i="2"/>
  <c r="E34" i="2"/>
  <c r="F31" i="2"/>
  <c r="E31" i="2"/>
  <c r="E26" i="2"/>
  <c r="F26" i="2"/>
  <c r="F30" i="2"/>
  <c r="E30" i="2"/>
  <c r="F29" i="2"/>
  <c r="E29" i="2"/>
  <c r="F28" i="2"/>
  <c r="E28" i="2"/>
  <c r="F27" i="2"/>
  <c r="E27" i="2"/>
  <c r="F25" i="2"/>
  <c r="E25" i="2"/>
  <c r="F24" i="2"/>
  <c r="E24" i="2"/>
  <c r="F23" i="2"/>
  <c r="E23" i="2"/>
  <c r="F22" i="2"/>
  <c r="F32" i="2" s="1"/>
  <c r="E22" i="2"/>
  <c r="E32" i="2" s="1"/>
  <c r="F21" i="2"/>
  <c r="E21" i="2"/>
  <c r="F19" i="2"/>
  <c r="E19" i="2"/>
  <c r="F18" i="2"/>
  <c r="E18" i="2"/>
  <c r="E20" i="2" s="1"/>
  <c r="E33" i="2" s="1"/>
  <c r="E46" i="2" s="1"/>
  <c r="F17" i="2"/>
  <c r="E17" i="2"/>
  <c r="F16" i="2"/>
  <c r="E16" i="2"/>
  <c r="E12" i="2"/>
  <c r="F12" i="2"/>
  <c r="B33" i="2"/>
  <c r="C33" i="2"/>
  <c r="B26" i="2"/>
  <c r="C26" i="2"/>
  <c r="B27" i="2"/>
  <c r="C27" i="2"/>
  <c r="B16" i="2"/>
  <c r="C16" i="2"/>
  <c r="B12" i="2"/>
  <c r="C12" i="2"/>
  <c r="F45" i="6"/>
  <c r="E45" i="6"/>
  <c r="F20" i="6"/>
  <c r="E20" i="6"/>
  <c r="E33" i="6" s="1"/>
  <c r="E46" i="6" s="1"/>
  <c r="F32" i="6"/>
  <c r="E32" i="6"/>
  <c r="A3" i="18"/>
  <c r="A3" i="5"/>
  <c r="A3" i="3"/>
  <c r="C29" i="9"/>
  <c r="B29" i="9"/>
  <c r="B30" i="9" s="1"/>
  <c r="C24" i="9"/>
  <c r="B24" i="9"/>
  <c r="U26" i="8"/>
  <c r="U27" i="8"/>
  <c r="U28" i="8"/>
  <c r="U30" i="8"/>
  <c r="U25" i="8"/>
  <c r="U22" i="8"/>
  <c r="U23" i="8"/>
  <c r="U21" i="8"/>
  <c r="U20" i="8" s="1"/>
  <c r="U17" i="8"/>
  <c r="U18" i="8"/>
  <c r="U19" i="8"/>
  <c r="U16" i="8"/>
  <c r="U15" i="8" s="1"/>
  <c r="U9" i="8"/>
  <c r="U10" i="8"/>
  <c r="U11" i="8"/>
  <c r="U8" i="8"/>
  <c r="K9" i="8"/>
  <c r="K10" i="8"/>
  <c r="K11" i="8"/>
  <c r="K16" i="8"/>
  <c r="K17" i="8"/>
  <c r="K15" i="8" s="1"/>
  <c r="K18" i="8"/>
  <c r="K19" i="8"/>
  <c r="K21" i="8"/>
  <c r="K22" i="8"/>
  <c r="K23" i="8"/>
  <c r="K20" i="8" s="1"/>
  <c r="K25" i="8"/>
  <c r="K24" i="8" s="1"/>
  <c r="K26" i="8"/>
  <c r="K27" i="8"/>
  <c r="K28" i="8"/>
  <c r="K30" i="8"/>
  <c r="E8" i="2"/>
  <c r="F8" i="2"/>
  <c r="E9" i="2"/>
  <c r="F9" i="2"/>
  <c r="E10" i="2"/>
  <c r="F10" i="2"/>
  <c r="E11" i="2"/>
  <c r="F11" i="2"/>
  <c r="E13" i="2"/>
  <c r="F13" i="2"/>
  <c r="E14" i="2"/>
  <c r="F14" i="2"/>
  <c r="E15" i="2"/>
  <c r="F15" i="2"/>
  <c r="B8" i="2"/>
  <c r="B20" i="2" s="1"/>
  <c r="C8" i="2"/>
  <c r="C20" i="2" s="1"/>
  <c r="C46" i="2" s="1"/>
  <c r="C52" i="2" s="1"/>
  <c r="B9" i="2"/>
  <c r="C9" i="2"/>
  <c r="B10" i="2"/>
  <c r="C10" i="2"/>
  <c r="B11" i="2"/>
  <c r="C11" i="2"/>
  <c r="B13" i="2"/>
  <c r="C13" i="2"/>
  <c r="B14" i="2"/>
  <c r="C14" i="2"/>
  <c r="B15" i="2"/>
  <c r="C15" i="2"/>
  <c r="B17" i="2"/>
  <c r="C17" i="2"/>
  <c r="B18" i="2"/>
  <c r="C18" i="2"/>
  <c r="B19" i="2"/>
  <c r="C19" i="2"/>
  <c r="B21" i="2"/>
  <c r="C21" i="2"/>
  <c r="B22" i="2"/>
  <c r="C22" i="2"/>
  <c r="B23" i="2"/>
  <c r="C23" i="2"/>
  <c r="B24" i="2"/>
  <c r="C24" i="2"/>
  <c r="B25" i="2"/>
  <c r="C25" i="2"/>
  <c r="B28" i="2"/>
  <c r="C28" i="2"/>
  <c r="B29" i="2"/>
  <c r="C29" i="2"/>
  <c r="B30" i="2"/>
  <c r="C30" i="2"/>
  <c r="B31" i="2"/>
  <c r="C31" i="2"/>
  <c r="C40" i="2" s="1"/>
  <c r="B32" i="2"/>
  <c r="C32" i="2"/>
  <c r="B34" i="2"/>
  <c r="C34" i="2"/>
  <c r="B35" i="2"/>
  <c r="B40" i="2" s="1"/>
  <c r="C35" i="2"/>
  <c r="B36" i="2"/>
  <c r="C36" i="2"/>
  <c r="B37" i="2"/>
  <c r="C37" i="2"/>
  <c r="B38" i="2"/>
  <c r="C38" i="2"/>
  <c r="B39" i="2"/>
  <c r="C39" i="2"/>
  <c r="D7" i="3"/>
  <c r="E7" i="3"/>
  <c r="D25" i="3"/>
  <c r="E25" i="3"/>
  <c r="D26" i="3"/>
  <c r="E26" i="3"/>
  <c r="D28" i="3"/>
  <c r="E28" i="3"/>
  <c r="D30" i="3"/>
  <c r="E30" i="3"/>
  <c r="D31" i="3"/>
  <c r="E31" i="3"/>
  <c r="D33" i="3"/>
  <c r="D32" i="3"/>
  <c r="E33" i="3"/>
  <c r="D34" i="3"/>
  <c r="E34" i="3"/>
  <c r="C14" i="5"/>
  <c r="D14" i="5"/>
  <c r="E14" i="5"/>
  <c r="F14" i="5"/>
  <c r="G14" i="5"/>
  <c r="H14" i="5"/>
  <c r="I14" i="5"/>
  <c r="L14" i="5"/>
  <c r="M14" i="5"/>
  <c r="N14" i="5"/>
  <c r="O14" i="5"/>
  <c r="P14" i="5"/>
  <c r="Q14" i="5"/>
  <c r="R14" i="5"/>
  <c r="S14" i="5"/>
  <c r="C16" i="5"/>
  <c r="D16" i="5"/>
  <c r="E16" i="5"/>
  <c r="F16" i="5"/>
  <c r="G16" i="5"/>
  <c r="H16" i="5"/>
  <c r="I16" i="5"/>
  <c r="J16" i="5"/>
  <c r="L16" i="5"/>
  <c r="L15" i="5" s="1"/>
  <c r="M16" i="5"/>
  <c r="N16" i="5"/>
  <c r="N15" i="5" s="1"/>
  <c r="O16" i="5"/>
  <c r="P16" i="5"/>
  <c r="P15" i="5" s="1"/>
  <c r="Q16" i="5"/>
  <c r="U16" i="5" s="1"/>
  <c r="U15" i="5" s="1"/>
  <c r="R16" i="5"/>
  <c r="R15" i="5" s="1"/>
  <c r="S16" i="5"/>
  <c r="T16" i="5"/>
  <c r="C17" i="5"/>
  <c r="C15" i="5" s="1"/>
  <c r="D17" i="5"/>
  <c r="K17" i="5" s="1"/>
  <c r="E17" i="5"/>
  <c r="F17" i="5"/>
  <c r="G17" i="5"/>
  <c r="H17" i="5"/>
  <c r="I17" i="5"/>
  <c r="J17" i="5"/>
  <c r="L17" i="5"/>
  <c r="M17" i="5"/>
  <c r="N17" i="5"/>
  <c r="O17" i="5"/>
  <c r="P17" i="5"/>
  <c r="Q17" i="5"/>
  <c r="U17" i="5" s="1"/>
  <c r="R17" i="5"/>
  <c r="S17" i="5"/>
  <c r="T17" i="5"/>
  <c r="C18" i="5"/>
  <c r="K18" i="5" s="1"/>
  <c r="D18" i="5"/>
  <c r="E18" i="5"/>
  <c r="E15" i="5" s="1"/>
  <c r="F18" i="5"/>
  <c r="F15" i="5" s="1"/>
  <c r="G18" i="5"/>
  <c r="H18" i="5"/>
  <c r="I18" i="5"/>
  <c r="J18" i="5"/>
  <c r="L18" i="5"/>
  <c r="M18" i="5"/>
  <c r="N18" i="5"/>
  <c r="O18" i="5"/>
  <c r="P18" i="5"/>
  <c r="Q18" i="5"/>
  <c r="R18" i="5"/>
  <c r="S18" i="5"/>
  <c r="T18" i="5"/>
  <c r="C19" i="5"/>
  <c r="D19" i="5"/>
  <c r="E19" i="5"/>
  <c r="F19" i="5"/>
  <c r="G19" i="5"/>
  <c r="G15" i="5" s="1"/>
  <c r="H19" i="5"/>
  <c r="H15" i="5" s="1"/>
  <c r="I19" i="5"/>
  <c r="I15" i="5" s="1"/>
  <c r="J19" i="5"/>
  <c r="L19" i="5"/>
  <c r="M19" i="5"/>
  <c r="N19" i="5"/>
  <c r="O19" i="5"/>
  <c r="P19" i="5"/>
  <c r="Q19" i="5"/>
  <c r="R19" i="5"/>
  <c r="S19" i="5"/>
  <c r="T19" i="5"/>
  <c r="C21" i="5"/>
  <c r="D21" i="5"/>
  <c r="D20" i="5" s="1"/>
  <c r="E21" i="5"/>
  <c r="E20" i="5" s="1"/>
  <c r="F21" i="5"/>
  <c r="G21" i="5"/>
  <c r="K21" i="5" s="1"/>
  <c r="H21" i="5"/>
  <c r="H20" i="5" s="1"/>
  <c r="L21" i="5"/>
  <c r="U21" i="5" s="1"/>
  <c r="M21" i="5"/>
  <c r="M20" i="5" s="1"/>
  <c r="N21" i="5"/>
  <c r="N20" i="5" s="1"/>
  <c r="O21" i="5"/>
  <c r="O20" i="5" s="1"/>
  <c r="P21" i="5"/>
  <c r="Q21" i="5"/>
  <c r="R21" i="5"/>
  <c r="S21" i="5"/>
  <c r="T21" i="5"/>
  <c r="C22" i="5"/>
  <c r="D22" i="5"/>
  <c r="E22" i="5"/>
  <c r="F22" i="5"/>
  <c r="G22" i="5"/>
  <c r="H22" i="5"/>
  <c r="I22" i="5"/>
  <c r="I20" i="5" s="1"/>
  <c r="J22" i="5"/>
  <c r="J20" i="5" s="1"/>
  <c r="L22" i="5"/>
  <c r="M22" i="5"/>
  <c r="N22" i="5"/>
  <c r="O22" i="5"/>
  <c r="P22" i="5"/>
  <c r="P20" i="5" s="1"/>
  <c r="Q22" i="5"/>
  <c r="Q20" i="5" s="1"/>
  <c r="R22" i="5"/>
  <c r="S22" i="5"/>
  <c r="T22" i="5"/>
  <c r="C23" i="5"/>
  <c r="D23" i="5"/>
  <c r="E23" i="5"/>
  <c r="F23" i="5"/>
  <c r="G23" i="5"/>
  <c r="H23" i="5"/>
  <c r="I23" i="5"/>
  <c r="J23" i="5"/>
  <c r="L23" i="5"/>
  <c r="M23" i="5"/>
  <c r="N23" i="5"/>
  <c r="O23" i="5"/>
  <c r="P23" i="5"/>
  <c r="Q23" i="5"/>
  <c r="U23" i="5" s="1"/>
  <c r="R23" i="5"/>
  <c r="R20" i="5" s="1"/>
  <c r="S23" i="5"/>
  <c r="S20" i="5" s="1"/>
  <c r="T23" i="5"/>
  <c r="T20" i="5" s="1"/>
  <c r="C25" i="5"/>
  <c r="D25" i="5"/>
  <c r="E25" i="5"/>
  <c r="F25" i="5"/>
  <c r="G25" i="5"/>
  <c r="H25" i="5"/>
  <c r="I25" i="5"/>
  <c r="I24" i="5" s="1"/>
  <c r="J25" i="5"/>
  <c r="L25" i="5"/>
  <c r="M25" i="5"/>
  <c r="M24" i="5" s="1"/>
  <c r="N25" i="5"/>
  <c r="O25" i="5"/>
  <c r="O24" i="5" s="1"/>
  <c r="P25" i="5"/>
  <c r="P24" i="5" s="1"/>
  <c r="Q25" i="5"/>
  <c r="Q24" i="5" s="1"/>
  <c r="R25" i="5"/>
  <c r="S25" i="5"/>
  <c r="T25" i="5"/>
  <c r="C26" i="5"/>
  <c r="K26" i="5" s="1"/>
  <c r="D26" i="5"/>
  <c r="E26" i="5"/>
  <c r="F26" i="5"/>
  <c r="G26" i="5"/>
  <c r="H26" i="5"/>
  <c r="I26" i="5"/>
  <c r="J26" i="5"/>
  <c r="L26" i="5"/>
  <c r="M26" i="5"/>
  <c r="N26" i="5"/>
  <c r="O26" i="5"/>
  <c r="P26" i="5"/>
  <c r="Q26" i="5"/>
  <c r="U26" i="5" s="1"/>
  <c r="R26" i="5"/>
  <c r="S26" i="5"/>
  <c r="T26" i="5"/>
  <c r="C27" i="5"/>
  <c r="D27" i="5"/>
  <c r="E27" i="5"/>
  <c r="F27" i="5"/>
  <c r="F24" i="5" s="1"/>
  <c r="G27" i="5"/>
  <c r="K27" i="5" s="1"/>
  <c r="H27" i="5"/>
  <c r="I27" i="5"/>
  <c r="J27" i="5"/>
  <c r="L27" i="5"/>
  <c r="M27" i="5"/>
  <c r="N27" i="5"/>
  <c r="O27" i="5"/>
  <c r="P27" i="5"/>
  <c r="Q27" i="5"/>
  <c r="R27" i="5"/>
  <c r="S27" i="5"/>
  <c r="U27" i="5" s="1"/>
  <c r="T27" i="5"/>
  <c r="C28" i="5"/>
  <c r="D28" i="5"/>
  <c r="E28" i="5"/>
  <c r="F28" i="5"/>
  <c r="G28" i="5"/>
  <c r="H28" i="5"/>
  <c r="I28" i="5"/>
  <c r="J28" i="5"/>
  <c r="L28" i="5"/>
  <c r="U28" i="5" s="1"/>
  <c r="M28" i="5"/>
  <c r="N28" i="5"/>
  <c r="O28" i="5"/>
  <c r="P28" i="5"/>
  <c r="Q28" i="5"/>
  <c r="R28" i="5"/>
  <c r="S28" i="5"/>
  <c r="T28" i="5"/>
  <c r="C30" i="5"/>
  <c r="D30" i="5"/>
  <c r="E30" i="5"/>
  <c r="F30" i="5"/>
  <c r="G30" i="5"/>
  <c r="H30" i="5"/>
  <c r="I30" i="5"/>
  <c r="J30" i="5"/>
  <c r="L30" i="5"/>
  <c r="M30" i="5"/>
  <c r="N30" i="5"/>
  <c r="O30" i="5"/>
  <c r="P30" i="5"/>
  <c r="Q30" i="5"/>
  <c r="R30" i="5"/>
  <c r="S30" i="5"/>
  <c r="T30" i="5"/>
  <c r="B16" i="5"/>
  <c r="B17" i="5"/>
  <c r="B18" i="5"/>
  <c r="B19" i="5"/>
  <c r="B15" i="5" s="1"/>
  <c r="B21" i="5"/>
  <c r="B22" i="5"/>
  <c r="K22" i="5" s="1"/>
  <c r="B23" i="5"/>
  <c r="K23" i="5" s="1"/>
  <c r="B25" i="5"/>
  <c r="K25" i="5" s="1"/>
  <c r="B26" i="5"/>
  <c r="B27" i="5"/>
  <c r="B28" i="5"/>
  <c r="B30" i="5"/>
  <c r="L8" i="5"/>
  <c r="M8" i="5"/>
  <c r="N8" i="5"/>
  <c r="O8" i="5"/>
  <c r="P8" i="5"/>
  <c r="Q8" i="5"/>
  <c r="R8" i="5"/>
  <c r="S8" i="5"/>
  <c r="T8" i="5"/>
  <c r="T12" i="5"/>
  <c r="C9" i="5"/>
  <c r="D9" i="5"/>
  <c r="E9" i="5"/>
  <c r="F9" i="5"/>
  <c r="G9" i="5"/>
  <c r="K9" i="5" s="1"/>
  <c r="H9" i="5"/>
  <c r="I9" i="5"/>
  <c r="J9" i="5"/>
  <c r="L9" i="5"/>
  <c r="L12" i="5" s="1"/>
  <c r="M9" i="5"/>
  <c r="M12" i="5" s="1"/>
  <c r="N9" i="5"/>
  <c r="O9" i="5"/>
  <c r="P9" i="5"/>
  <c r="Q9" i="5"/>
  <c r="R9" i="5"/>
  <c r="S9" i="5"/>
  <c r="T9" i="5"/>
  <c r="C10" i="5"/>
  <c r="D10" i="5"/>
  <c r="E10" i="5"/>
  <c r="F10" i="5"/>
  <c r="G10" i="5"/>
  <c r="H10" i="5"/>
  <c r="I10" i="5"/>
  <c r="J10" i="5"/>
  <c r="L10" i="5"/>
  <c r="U10" i="5" s="1"/>
  <c r="M10" i="5"/>
  <c r="N10" i="5"/>
  <c r="N12" i="5" s="1"/>
  <c r="O10" i="5"/>
  <c r="O12" i="5" s="1"/>
  <c r="P10" i="5"/>
  <c r="P12" i="5" s="1"/>
  <c r="Q10" i="5"/>
  <c r="R10" i="5"/>
  <c r="S10" i="5"/>
  <c r="T10" i="5"/>
  <c r="C11" i="5"/>
  <c r="D11" i="5"/>
  <c r="E11" i="5"/>
  <c r="K11" i="5" s="1"/>
  <c r="F11" i="5"/>
  <c r="G11" i="5"/>
  <c r="H11" i="5"/>
  <c r="I11" i="5"/>
  <c r="J11" i="5"/>
  <c r="L11" i="5"/>
  <c r="M11" i="5"/>
  <c r="N11" i="5"/>
  <c r="O11" i="5"/>
  <c r="P11" i="5"/>
  <c r="Q11" i="5"/>
  <c r="Q12" i="5" s="1"/>
  <c r="R11" i="5"/>
  <c r="R12" i="5" s="1"/>
  <c r="S11" i="5"/>
  <c r="T11" i="5"/>
  <c r="B9" i="5"/>
  <c r="B10" i="5"/>
  <c r="B11" i="5"/>
  <c r="B14" i="5"/>
  <c r="C16" i="14"/>
  <c r="F23" i="15"/>
  <c r="E23" i="15"/>
  <c r="C32" i="7"/>
  <c r="B32" i="7"/>
  <c r="C24" i="8"/>
  <c r="D24" i="8"/>
  <c r="D13" i="8" s="1"/>
  <c r="E24" i="8"/>
  <c r="F24" i="8"/>
  <c r="G24" i="8"/>
  <c r="H24" i="8"/>
  <c r="H13" i="8" s="1"/>
  <c r="I24" i="8"/>
  <c r="J24" i="8"/>
  <c r="L24" i="8"/>
  <c r="M24" i="8"/>
  <c r="N24" i="8"/>
  <c r="O24" i="8"/>
  <c r="P24" i="8"/>
  <c r="Q24" i="8"/>
  <c r="R24" i="8"/>
  <c r="S24" i="8"/>
  <c r="T24" i="8"/>
  <c r="C20" i="8"/>
  <c r="C13" i="8" s="1"/>
  <c r="D20" i="8"/>
  <c r="E20" i="8"/>
  <c r="E13" i="8" s="1"/>
  <c r="F20" i="8"/>
  <c r="F13" i="8" s="1"/>
  <c r="G20" i="8"/>
  <c r="G13" i="8" s="1"/>
  <c r="H20" i="8"/>
  <c r="L20" i="8"/>
  <c r="M20" i="8"/>
  <c r="N20" i="8"/>
  <c r="O20" i="8"/>
  <c r="P20" i="8"/>
  <c r="Q20" i="8"/>
  <c r="R20" i="8"/>
  <c r="S20" i="8"/>
  <c r="T20" i="8"/>
  <c r="C15" i="8"/>
  <c r="D15" i="8"/>
  <c r="E15" i="8"/>
  <c r="F15" i="8"/>
  <c r="G15" i="8"/>
  <c r="H15" i="8"/>
  <c r="I15" i="8"/>
  <c r="I13" i="8" s="1"/>
  <c r="J15" i="8"/>
  <c r="L15" i="8"/>
  <c r="L13" i="8" s="1"/>
  <c r="L31" i="8" s="1"/>
  <c r="M15" i="8"/>
  <c r="N15" i="8"/>
  <c r="N13" i="8" s="1"/>
  <c r="N31" i="8" s="1"/>
  <c r="D8" i="8" s="1"/>
  <c r="D12" i="8" s="1"/>
  <c r="O15" i="8"/>
  <c r="P15" i="8"/>
  <c r="P13" i="8" s="1"/>
  <c r="P31" i="8" s="1"/>
  <c r="Q15" i="8"/>
  <c r="Q13" i="8" s="1"/>
  <c r="Q31" i="8" s="1"/>
  <c r="G8" i="8" s="1"/>
  <c r="G12" i="8" s="1"/>
  <c r="G31" i="8" s="1"/>
  <c r="R15" i="8"/>
  <c r="R13" i="8" s="1"/>
  <c r="R31" i="8" s="1"/>
  <c r="H8" i="8" s="1"/>
  <c r="H12" i="8" s="1"/>
  <c r="H31" i="8" s="1"/>
  <c r="S15" i="8"/>
  <c r="T15" i="8"/>
  <c r="B15" i="8"/>
  <c r="L12" i="8"/>
  <c r="M12" i="8"/>
  <c r="N12" i="8"/>
  <c r="O12" i="8"/>
  <c r="Q12" i="8"/>
  <c r="R12" i="8"/>
  <c r="T12" i="8"/>
  <c r="C12" i="10"/>
  <c r="C8" i="10"/>
  <c r="C27" i="7"/>
  <c r="C29" i="7"/>
  <c r="T14" i="8" s="1"/>
  <c r="C40" i="6"/>
  <c r="B40" i="6"/>
  <c r="E5" i="17"/>
  <c r="E5" i="2"/>
  <c r="B10" i="9"/>
  <c r="P12" i="8"/>
  <c r="F27" i="17"/>
  <c r="F29" i="17"/>
  <c r="F26" i="17"/>
  <c r="E27" i="17"/>
  <c r="E29" i="17"/>
  <c r="E26" i="17"/>
  <c r="E30" i="17" s="1"/>
  <c r="F20" i="17"/>
  <c r="F21" i="17"/>
  <c r="F22" i="17"/>
  <c r="F19" i="17"/>
  <c r="F23" i="17"/>
  <c r="E20" i="17"/>
  <c r="E21" i="17"/>
  <c r="E22" i="17"/>
  <c r="E19" i="17"/>
  <c r="F8" i="17"/>
  <c r="F17" i="17" s="1"/>
  <c r="F24" i="17" s="1"/>
  <c r="F31" i="17" s="1"/>
  <c r="F9" i="17"/>
  <c r="F10" i="17"/>
  <c r="F11" i="17"/>
  <c r="F12" i="17"/>
  <c r="F13" i="17"/>
  <c r="F14" i="17"/>
  <c r="F15" i="17"/>
  <c r="F16" i="17"/>
  <c r="F7" i="17"/>
  <c r="E8" i="17"/>
  <c r="E9" i="17"/>
  <c r="E10" i="17"/>
  <c r="E11" i="17"/>
  <c r="E12" i="17"/>
  <c r="E13" i="17"/>
  <c r="E14" i="17"/>
  <c r="E15" i="17"/>
  <c r="E16" i="17"/>
  <c r="E7" i="17"/>
  <c r="E17" i="17" s="1"/>
  <c r="E24" i="17" s="1"/>
  <c r="C20" i="17"/>
  <c r="C21" i="17"/>
  <c r="C22" i="17"/>
  <c r="C23" i="17"/>
  <c r="C24" i="17"/>
  <c r="C25" i="17"/>
  <c r="C26" i="17"/>
  <c r="C27" i="17"/>
  <c r="C28" i="17"/>
  <c r="C29" i="17"/>
  <c r="C19" i="17"/>
  <c r="C30" i="17" s="1"/>
  <c r="B20" i="17"/>
  <c r="B30" i="17" s="1"/>
  <c r="B21" i="17"/>
  <c r="B22" i="17"/>
  <c r="B23" i="17"/>
  <c r="B24" i="17"/>
  <c r="B25" i="17"/>
  <c r="B26" i="17"/>
  <c r="B27" i="17"/>
  <c r="B28" i="17"/>
  <c r="B29" i="17"/>
  <c r="B19" i="17"/>
  <c r="C8" i="17"/>
  <c r="C9" i="17"/>
  <c r="C10" i="17"/>
  <c r="C11" i="17"/>
  <c r="C12" i="17"/>
  <c r="C13" i="17"/>
  <c r="C14" i="17"/>
  <c r="C15" i="17"/>
  <c r="C16" i="17"/>
  <c r="C7" i="17"/>
  <c r="C17" i="17" s="1"/>
  <c r="C31" i="17" s="1"/>
  <c r="B8" i="17"/>
  <c r="B17" i="17" s="1"/>
  <c r="B31" i="17" s="1"/>
  <c r="B9" i="17"/>
  <c r="B10" i="17"/>
  <c r="B11" i="17"/>
  <c r="B12" i="17"/>
  <c r="B13" i="17"/>
  <c r="B14" i="17"/>
  <c r="B15" i="17"/>
  <c r="B16" i="17"/>
  <c r="B7" i="17"/>
  <c r="C17" i="18"/>
  <c r="C15" i="18"/>
  <c r="C14" i="18"/>
  <c r="C7" i="18"/>
  <c r="C8" i="18"/>
  <c r="C9" i="18"/>
  <c r="C10" i="18"/>
  <c r="C11" i="18"/>
  <c r="C12" i="18"/>
  <c r="C6" i="18"/>
  <c r="C13" i="18" s="1"/>
  <c r="C16" i="18" s="1"/>
  <c r="C18" i="18" s="1"/>
  <c r="C21" i="18" s="1"/>
  <c r="B17" i="18"/>
  <c r="B15" i="18"/>
  <c r="B14" i="18"/>
  <c r="B7" i="18"/>
  <c r="B13" i="18" s="1"/>
  <c r="B16" i="18" s="1"/>
  <c r="B18" i="18" s="1"/>
  <c r="B21" i="18" s="1"/>
  <c r="B8" i="18"/>
  <c r="B9" i="18"/>
  <c r="B10" i="18"/>
  <c r="B11" i="18"/>
  <c r="B12" i="18"/>
  <c r="B6" i="18"/>
  <c r="F5" i="17"/>
  <c r="C13" i="16"/>
  <c r="C16" i="16" s="1"/>
  <c r="C18" i="16" s="1"/>
  <c r="B13" i="16"/>
  <c r="B16" i="16" s="1"/>
  <c r="B18" i="16" s="1"/>
  <c r="C30" i="15"/>
  <c r="B30" i="15"/>
  <c r="F17" i="15"/>
  <c r="F24" i="15"/>
  <c r="E17" i="15"/>
  <c r="E24" i="15"/>
  <c r="E31" i="15" s="1"/>
  <c r="E34" i="15" s="1"/>
  <c r="C17" i="15"/>
  <c r="C31" i="15" s="1"/>
  <c r="F34" i="15" s="1"/>
  <c r="B17" i="15"/>
  <c r="F5" i="15"/>
  <c r="E5" i="15"/>
  <c r="C14" i="14"/>
  <c r="C13" i="14"/>
  <c r="C12" i="14" s="1"/>
  <c r="C10" i="14"/>
  <c r="C8" i="14" s="1"/>
  <c r="C11" i="14"/>
  <c r="C9" i="14"/>
  <c r="D6" i="3"/>
  <c r="F7" i="2"/>
  <c r="F20" i="2" s="1"/>
  <c r="E7" i="2"/>
  <c r="C7" i="2"/>
  <c r="B7" i="2"/>
  <c r="C20" i="6"/>
  <c r="C46" i="6" s="1"/>
  <c r="B20" i="6"/>
  <c r="B46" i="6" s="1"/>
  <c r="F5" i="2"/>
  <c r="B24" i="8"/>
  <c r="B20" i="8"/>
  <c r="G22" i="9"/>
  <c r="F22" i="9"/>
  <c r="G21" i="9"/>
  <c r="F21" i="9"/>
  <c r="G20" i="9"/>
  <c r="F20" i="9"/>
  <c r="G46" i="9"/>
  <c r="G26" i="9"/>
  <c r="F26" i="9"/>
  <c r="F27" i="9"/>
  <c r="G27" i="9"/>
  <c r="F43" i="9"/>
  <c r="F28" i="9"/>
  <c r="F23" i="9"/>
  <c r="G43" i="9"/>
  <c r="G38" i="9"/>
  <c r="G39" i="9"/>
  <c r="G37" i="9"/>
  <c r="G25" i="9"/>
  <c r="G29" i="9" s="1"/>
  <c r="G28" i="9"/>
  <c r="E6" i="3"/>
  <c r="E24" i="3"/>
  <c r="E27" i="3"/>
  <c r="E29" i="3" s="1"/>
  <c r="C40" i="9"/>
  <c r="C41" i="9"/>
  <c r="C36" i="9"/>
  <c r="C15" i="9"/>
  <c r="C10" i="9"/>
  <c r="C17" i="12"/>
  <c r="F5" i="6"/>
  <c r="E5" i="6"/>
  <c r="G34" i="9"/>
  <c r="F35" i="9"/>
  <c r="G35" i="9"/>
  <c r="G33" i="9"/>
  <c r="G19" i="9"/>
  <c r="G24" i="9" s="1"/>
  <c r="F19" i="9"/>
  <c r="F24" i="9" s="1"/>
  <c r="F12" i="9"/>
  <c r="F15" i="9" s="1"/>
  <c r="F16" i="9" s="1"/>
  <c r="G12" i="9"/>
  <c r="G15" i="9" s="1"/>
  <c r="F13" i="9"/>
  <c r="G13" i="9"/>
  <c r="F14" i="9"/>
  <c r="G14" i="9"/>
  <c r="G11" i="9"/>
  <c r="F11" i="9"/>
  <c r="G8" i="9"/>
  <c r="G9" i="9"/>
  <c r="G7" i="9"/>
  <c r="F8" i="9"/>
  <c r="F9" i="9"/>
  <c r="F7" i="9"/>
  <c r="G23" i="9"/>
  <c r="A3" i="14"/>
  <c r="C5" i="14"/>
  <c r="A3" i="7"/>
  <c r="A3" i="8"/>
  <c r="F33" i="9"/>
  <c r="F36" i="9" s="1"/>
  <c r="F34" i="9"/>
  <c r="F37" i="9"/>
  <c r="F40" i="9" s="1"/>
  <c r="F38" i="9"/>
  <c r="F39" i="9"/>
  <c r="B13" i="12"/>
  <c r="B14" i="12"/>
  <c r="C24" i="12"/>
  <c r="C26" i="12"/>
  <c r="C25" i="12" s="1"/>
  <c r="E26" i="12"/>
  <c r="E25" i="12" s="1"/>
  <c r="E23" i="12" s="1"/>
  <c r="C23" i="12" s="1"/>
  <c r="C27" i="12"/>
  <c r="C28" i="12"/>
  <c r="E28" i="12"/>
  <c r="C31" i="12"/>
  <c r="E17" i="12"/>
  <c r="B15" i="9"/>
  <c r="E27" i="12"/>
  <c r="E18" i="12"/>
  <c r="C18" i="12"/>
  <c r="C35" i="12"/>
  <c r="C34" i="12"/>
  <c r="E31" i="12"/>
  <c r="E24" i="12"/>
  <c r="B36" i="9"/>
  <c r="F25" i="9"/>
  <c r="F29" i="9" s="1"/>
  <c r="B31" i="15"/>
  <c r="E23" i="17"/>
  <c r="E28" i="17"/>
  <c r="E30" i="15"/>
  <c r="S12" i="8"/>
  <c r="U12" i="8"/>
  <c r="F28" i="17"/>
  <c r="F30" i="17"/>
  <c r="F30" i="15"/>
  <c r="F31" i="15"/>
  <c r="B40" i="9"/>
  <c r="I20" i="8"/>
  <c r="I21" i="5"/>
  <c r="J21" i="5"/>
  <c r="J20" i="8"/>
  <c r="G36" i="9"/>
  <c r="C30" i="9"/>
  <c r="C16" i="9"/>
  <c r="C45" i="9" s="1"/>
  <c r="C49" i="9" s="1"/>
  <c r="B16" i="9"/>
  <c r="B45" i="9" s="1"/>
  <c r="G10" i="9"/>
  <c r="G16" i="9" s="1"/>
  <c r="F10" i="9"/>
  <c r="G40" i="9"/>
  <c r="G41" i="9" s="1"/>
  <c r="B41" i="9"/>
  <c r="E32" i="3"/>
  <c r="B35" i="7"/>
  <c r="C7" i="10"/>
  <c r="C15" i="10"/>
  <c r="C17" i="10"/>
  <c r="F33" i="6"/>
  <c r="F46" i="6"/>
  <c r="F49" i="6" s="1"/>
  <c r="F20" i="5"/>
  <c r="U18" i="5"/>
  <c r="J15" i="5"/>
  <c r="D24" i="5"/>
  <c r="M15" i="5"/>
  <c r="S12" i="5"/>
  <c r="K10" i="5"/>
  <c r="U9" i="5"/>
  <c r="C20" i="5"/>
  <c r="U19" i="5"/>
  <c r="S15" i="5"/>
  <c r="O15" i="5"/>
  <c r="T15" i="5"/>
  <c r="K16" i="5"/>
  <c r="U8" i="5"/>
  <c r="K29" i="5"/>
  <c r="E52" i="2" l="1"/>
  <c r="B37" i="17"/>
  <c r="I13" i="5"/>
  <c r="B46" i="2"/>
  <c r="F13" i="5"/>
  <c r="N13" i="5"/>
  <c r="N31" i="5" s="1"/>
  <c r="D8" i="5" s="1"/>
  <c r="D12" i="5" s="1"/>
  <c r="D31" i="5" s="1"/>
  <c r="M13" i="5"/>
  <c r="M31" i="5" s="1"/>
  <c r="C8" i="5" s="1"/>
  <c r="C12" i="5" s="1"/>
  <c r="C31" i="5" s="1"/>
  <c r="J13" i="8"/>
  <c r="K14" i="8"/>
  <c r="K13" i="8" s="1"/>
  <c r="F41" i="9"/>
  <c r="F30" i="9"/>
  <c r="F45" i="9" s="1"/>
  <c r="F49" i="9" s="1"/>
  <c r="K20" i="5"/>
  <c r="G30" i="9"/>
  <c r="G45" i="9" s="1"/>
  <c r="G49" i="9" s="1"/>
  <c r="G52" i="9" s="1"/>
  <c r="B46" i="9"/>
  <c r="F46" i="9" s="1"/>
  <c r="C52" i="9"/>
  <c r="T14" i="5"/>
  <c r="E35" i="3"/>
  <c r="C37" i="17"/>
  <c r="U14" i="5"/>
  <c r="P13" i="5"/>
  <c r="P31" i="5" s="1"/>
  <c r="O13" i="5"/>
  <c r="O31" i="5" s="1"/>
  <c r="E8" i="5" s="1"/>
  <c r="E12" i="5" s="1"/>
  <c r="F33" i="2"/>
  <c r="F46" i="2" s="1"/>
  <c r="F37" i="17"/>
  <c r="F36" i="17"/>
  <c r="E31" i="17"/>
  <c r="E37" i="17" s="1"/>
  <c r="D29" i="3"/>
  <c r="C7" i="14"/>
  <c r="C15" i="14" s="1"/>
  <c r="C17" i="14" s="1"/>
  <c r="C21" i="14" s="1"/>
  <c r="U12" i="5"/>
  <c r="E22" i="12"/>
  <c r="E30" i="12" s="1"/>
  <c r="E49" i="6"/>
  <c r="K15" i="5"/>
  <c r="T13" i="8"/>
  <c r="T31" i="8" s="1"/>
  <c r="T34" i="8" s="1"/>
  <c r="U14" i="8"/>
  <c r="B13" i="8"/>
  <c r="U25" i="5"/>
  <c r="L20" i="5"/>
  <c r="K28" i="5"/>
  <c r="S13" i="8"/>
  <c r="S31" i="8" s="1"/>
  <c r="S34" i="8" s="1"/>
  <c r="U30" i="5"/>
  <c r="U24" i="5" s="1"/>
  <c r="U13" i="5" s="1"/>
  <c r="U31" i="5" s="1"/>
  <c r="U35" i="5" s="1"/>
  <c r="K19" i="5"/>
  <c r="D15" i="5"/>
  <c r="D13" i="5" s="1"/>
  <c r="G20" i="5"/>
  <c r="Q15" i="5"/>
  <c r="Q13" i="5" s="1"/>
  <c r="Q31" i="5" s="1"/>
  <c r="G8" i="5" s="1"/>
  <c r="G12" i="5" s="1"/>
  <c r="G31" i="5" s="1"/>
  <c r="U22" i="5"/>
  <c r="U20" i="5" s="1"/>
  <c r="C35" i="7"/>
  <c r="G24" i="5"/>
  <c r="G13" i="5" s="1"/>
  <c r="C22" i="12"/>
  <c r="C30" i="12" s="1"/>
  <c r="K30" i="5"/>
  <c r="K24" i="5" s="1"/>
  <c r="B20" i="5"/>
  <c r="B13" i="5" s="1"/>
  <c r="B24" i="5"/>
  <c r="O13" i="8"/>
  <c r="O31" i="8" s="1"/>
  <c r="E8" i="8" s="1"/>
  <c r="E12" i="8" s="1"/>
  <c r="E31" i="8" s="1"/>
  <c r="S24" i="5"/>
  <c r="S13" i="5" s="1"/>
  <c r="S31" i="5" s="1"/>
  <c r="S35" i="5" s="1"/>
  <c r="U11" i="5"/>
  <c r="H24" i="5"/>
  <c r="H13" i="5" s="1"/>
  <c r="M13" i="8"/>
  <c r="M31" i="8" s="1"/>
  <c r="C8" i="8" s="1"/>
  <c r="C12" i="8" s="1"/>
  <c r="C31" i="8" s="1"/>
  <c r="J24" i="5"/>
  <c r="T24" i="5"/>
  <c r="T13" i="5" s="1"/>
  <c r="T31" i="5" s="1"/>
  <c r="J8" i="5" s="1"/>
  <c r="J12" i="5" s="1"/>
  <c r="L24" i="5"/>
  <c r="L13" i="5" s="1"/>
  <c r="L31" i="5" s="1"/>
  <c r="B8" i="5" s="1"/>
  <c r="B12" i="5" s="1"/>
  <c r="C24" i="5"/>
  <c r="C13" i="5" s="1"/>
  <c r="U24" i="8"/>
  <c r="U13" i="8" s="1"/>
  <c r="U31" i="8" s="1"/>
  <c r="U34" i="8" s="1"/>
  <c r="R24" i="5"/>
  <c r="R13" i="5" s="1"/>
  <c r="R31" i="5" s="1"/>
  <c r="H8" i="5" s="1"/>
  <c r="H12" i="5" s="1"/>
  <c r="H31" i="5" s="1"/>
  <c r="E24" i="5"/>
  <c r="E13" i="5" s="1"/>
  <c r="E31" i="5" s="1"/>
  <c r="F8" i="8"/>
  <c r="F12" i="8" s="1"/>
  <c r="F31" i="8" s="1"/>
  <c r="F34" i="8" s="1"/>
  <c r="P34" i="8"/>
  <c r="D31" i="8"/>
  <c r="L34" i="8"/>
  <c r="B8" i="8"/>
  <c r="L35" i="5"/>
  <c r="P35" i="5"/>
  <c r="F8" i="5"/>
  <c r="F12" i="5" s="1"/>
  <c r="F31" i="5" s="1"/>
  <c r="F35" i="5" s="1"/>
  <c r="J14" i="5" l="1"/>
  <c r="K14" i="5" s="1"/>
  <c r="K13" i="5" s="1"/>
  <c r="D35" i="3"/>
  <c r="D38" i="3" s="1"/>
  <c r="T35" i="5"/>
  <c r="F51" i="2"/>
  <c r="F52" i="2"/>
  <c r="B31" i="5"/>
  <c r="B35" i="5" s="1"/>
  <c r="I8" i="5"/>
  <c r="I12" i="5" s="1"/>
  <c r="I31" i="5" s="1"/>
  <c r="I35" i="5" s="1"/>
  <c r="J8" i="8"/>
  <c r="J12" i="8" s="1"/>
  <c r="J31" i="8" s="1"/>
  <c r="J34" i="8" s="1"/>
  <c r="B49" i="9"/>
  <c r="B52" i="9" s="1"/>
  <c r="E51" i="2"/>
  <c r="B52" i="2"/>
  <c r="I8" i="8"/>
  <c r="I12" i="8" s="1"/>
  <c r="I31" i="8" s="1"/>
  <c r="I34" i="8" s="1"/>
  <c r="J13" i="5"/>
  <c r="E36" i="17"/>
  <c r="J31" i="5"/>
  <c r="J35" i="5" s="1"/>
  <c r="E38" i="3"/>
  <c r="B12" i="8"/>
  <c r="B31" i="8" s="1"/>
  <c r="B34" i="8" s="1"/>
  <c r="K8" i="8"/>
  <c r="K12" i="8" s="1"/>
  <c r="K31" i="8" s="1"/>
  <c r="K34" i="8" s="1"/>
  <c r="K8" i="5" l="1"/>
  <c r="K12" i="5" s="1"/>
  <c r="K31" i="5" s="1"/>
  <c r="K35" i="5" s="1"/>
  <c r="F52" i="9"/>
</calcChain>
</file>

<file path=xl/sharedStrings.xml><?xml version="1.0" encoding="utf-8"?>
<sst xmlns="http://schemas.openxmlformats.org/spreadsheetml/2006/main" count="818" uniqueCount="705">
  <si>
    <t>公司名称</t>
  </si>
  <si>
    <t>审计截止日</t>
  </si>
  <si>
    <t>审计期间</t>
  </si>
  <si>
    <t>Item</t>
  </si>
  <si>
    <t>——</t>
  </si>
  <si>
    <t xml:space="preserve">    Employee salaries and benefits payable</t>
  </si>
  <si>
    <t xml:space="preserve">    Other current assets</t>
  </si>
  <si>
    <t xml:space="preserve">    Non-current liabilities due within 1 year</t>
  </si>
  <si>
    <t xml:space="preserve">    Other current liabilities</t>
  </si>
  <si>
    <t xml:space="preserve">    Long-term borrowings</t>
  </si>
  <si>
    <t xml:space="preserve">    Long-term payables</t>
  </si>
  <si>
    <t xml:space="preserve">    Other non-current liabilities</t>
  </si>
  <si>
    <t>Total liabilities</t>
  </si>
  <si>
    <t>Total assets</t>
  </si>
  <si>
    <t>Total liabilities and owner's equity</t>
  </si>
  <si>
    <t>Total shareholders' equity</t>
  </si>
  <si>
    <t xml:space="preserve"> Capital surplus</t>
  </si>
  <si>
    <t>Surplus reserves</t>
  </si>
  <si>
    <t>Undistributed profit</t>
  </si>
  <si>
    <t xml:space="preserve">Undistributed profit  </t>
  </si>
  <si>
    <t>IV. Balance at the end of this year</t>
  </si>
  <si>
    <t>Description</t>
  </si>
  <si>
    <t>Amount</t>
  </si>
  <si>
    <t>金额单位：人民币元</t>
  </si>
  <si>
    <t>项            目</t>
  </si>
  <si>
    <t xml:space="preserve">        短期借款</t>
  </si>
  <si>
    <t xml:space="preserve">        长期借款</t>
  </si>
  <si>
    <t xml:space="preserve">        应付债券</t>
  </si>
  <si>
    <t xml:space="preserve">        长期应付款</t>
  </si>
  <si>
    <t xml:space="preserve">        预计负债</t>
  </si>
  <si>
    <t xml:space="preserve">        其他非流动负债</t>
  </si>
  <si>
    <t xml:space="preserve">        实收资本（股本）</t>
  </si>
  <si>
    <t>所有者权益合计</t>
  </si>
  <si>
    <t>负债和所有者权益总计</t>
  </si>
  <si>
    <t>法定代表人：</t>
  </si>
  <si>
    <t>财务负责人：</t>
  </si>
  <si>
    <t>利润表</t>
  </si>
  <si>
    <t xml:space="preserve">    加：营业外收入</t>
  </si>
  <si>
    <t xml:space="preserve">    减：营业外支出</t>
  </si>
  <si>
    <t xml:space="preserve">    减：所得税费用</t>
  </si>
  <si>
    <t>所有者权益变动表</t>
  </si>
  <si>
    <t>金额单位:人民币元</t>
  </si>
  <si>
    <t>项                      目</t>
  </si>
  <si>
    <t>本       年       金       额</t>
  </si>
  <si>
    <t>上       年       金       额</t>
  </si>
  <si>
    <t>资本公积</t>
  </si>
  <si>
    <t>盈余公积</t>
  </si>
  <si>
    <t>未分配利润</t>
  </si>
  <si>
    <t>一、上年年末余额</t>
  </si>
  <si>
    <t>二、本年年初余额</t>
  </si>
  <si>
    <t>三、本年增减变动金额</t>
  </si>
  <si>
    <t>1.提取盈余公积</t>
  </si>
  <si>
    <t>3.盈余公积弥补亏损</t>
  </si>
  <si>
    <t>四、本年年末余额</t>
  </si>
  <si>
    <t>CASH FLOWS STATEMENT</t>
  </si>
  <si>
    <t xml:space="preserve">一、经营活动产生的现金流量: </t>
  </si>
  <si>
    <t xml:space="preserve">销售商品，提供劳务收到的现金 </t>
  </si>
  <si>
    <t xml:space="preserve">      Cash received from sales of goods or rendering of services</t>
  </si>
  <si>
    <t>收到的税费返还</t>
  </si>
  <si>
    <t xml:space="preserve">      Refund of tax and levy</t>
  </si>
  <si>
    <t>收到的其他与经营活动有关的现金</t>
  </si>
  <si>
    <t xml:space="preserve">      Other cash received relating to operating activities</t>
  </si>
  <si>
    <t xml:space="preserve">      Sub-total of cash inflows</t>
  </si>
  <si>
    <t>购买商品，接受劳务支付的现金</t>
  </si>
  <si>
    <t xml:space="preserve">      Cash paid for goods and services</t>
  </si>
  <si>
    <t>支付给职工以及为职工支付的现金</t>
  </si>
  <si>
    <t xml:space="preserve">      Cash paid to and on behalf of employees</t>
  </si>
  <si>
    <t>支付的各项税费</t>
  </si>
  <si>
    <t xml:space="preserve">      Taxes paid</t>
  </si>
  <si>
    <t>支付的其他与经营活动有关的现金</t>
  </si>
  <si>
    <t xml:space="preserve">      Other cash paid relating to operating activities</t>
  </si>
  <si>
    <t xml:space="preserve">      Sub-total of cash outflows</t>
  </si>
  <si>
    <t xml:space="preserve">经营活动产生的现金流量净额 </t>
  </si>
  <si>
    <t xml:space="preserve">      Net cash flows from operating activities</t>
  </si>
  <si>
    <t>二、投资活动产生的现金流量:</t>
  </si>
  <si>
    <t>吸收投资所收到的现金</t>
  </si>
  <si>
    <t>收到的其他与投资活动有关的现金</t>
  </si>
  <si>
    <t xml:space="preserve">      Other cash received relating to investing activities</t>
  </si>
  <si>
    <t>支付的其他与投资活动有关的现金</t>
  </si>
  <si>
    <t xml:space="preserve">      Other cash paid relating to investing activities</t>
  </si>
  <si>
    <t>投资活动产生的现金流量净额</t>
  </si>
  <si>
    <t xml:space="preserve">      Net cash from investment activities</t>
  </si>
  <si>
    <t>三、筹资活动产生的现金流量</t>
  </si>
  <si>
    <t xml:space="preserve">      Proceeds from issuing shares </t>
  </si>
  <si>
    <t xml:space="preserve">      Proceeds from borrowings</t>
  </si>
  <si>
    <t>收到的其他与筹资活动有关的现金</t>
  </si>
  <si>
    <t xml:space="preserve">      Other proceeds relating to financing activities</t>
  </si>
  <si>
    <t>偿还债务所支付的现金</t>
  </si>
  <si>
    <t xml:space="preserve">      Cash repayments of amounts borrowed</t>
  </si>
  <si>
    <t>分配股利、利润或偿付利息所支付的现金</t>
  </si>
  <si>
    <t>支付的其他与筹资活动有关的现金</t>
  </si>
  <si>
    <t xml:space="preserve">      Other cash payments relating to financing activities</t>
  </si>
  <si>
    <t>筹资活动产生的现金流量净额</t>
  </si>
  <si>
    <t xml:space="preserve">      Net cash flows from financing activities</t>
  </si>
  <si>
    <t>四、汇率变动对现金的影响额</t>
  </si>
  <si>
    <t xml:space="preserve">法定代表人：       </t>
  </si>
  <si>
    <t>Accounting manager:</t>
  </si>
  <si>
    <t>项目</t>
  </si>
  <si>
    <t>调整内容</t>
  </si>
  <si>
    <t>金额</t>
  </si>
  <si>
    <t>一、审计后利润总额</t>
  </si>
  <si>
    <t>二、加：纳税调整增加额</t>
  </si>
  <si>
    <t>三、减：纳税调整减少额</t>
  </si>
  <si>
    <t>四、纳税调整后所得</t>
  </si>
  <si>
    <t>五、弥补以前年度亏损</t>
  </si>
  <si>
    <t>六、应纳税所得额</t>
  </si>
  <si>
    <t>注：本表仅供参考，凡涉及税收事宜以税务机关核定数为准。</t>
  </si>
  <si>
    <t>外汇申报用表：</t>
  </si>
  <si>
    <t>基本信息表</t>
  </si>
  <si>
    <t>企业代码：</t>
  </si>
  <si>
    <t>企业名称：</t>
  </si>
  <si>
    <t>年度：</t>
  </si>
  <si>
    <t>申报机构类型：</t>
  </si>
  <si>
    <t>企业联系人：</t>
  </si>
  <si>
    <t>企业联系电话：</t>
  </si>
  <si>
    <t>代理信息</t>
  </si>
  <si>
    <t>代理申报机构代码：</t>
  </si>
  <si>
    <t>55293897X</t>
  </si>
  <si>
    <t>代理机构名称：</t>
  </si>
  <si>
    <t>上海戴柯荣会计师事务所有限公司</t>
  </si>
  <si>
    <t>代理申报机构联系人：</t>
  </si>
  <si>
    <t>方崇光</t>
  </si>
  <si>
    <t>代理申报机构联系电话：</t>
  </si>
  <si>
    <t>021-62885872</t>
  </si>
  <si>
    <t>备注栏</t>
  </si>
  <si>
    <t>申报/审核说明</t>
  </si>
  <si>
    <t>意见内容</t>
  </si>
  <si>
    <t>日期</t>
  </si>
  <si>
    <t>操作人代码</t>
  </si>
  <si>
    <t>外方比例</t>
  </si>
  <si>
    <t>%</t>
  </si>
  <si>
    <t>境内直接投资外方权益表</t>
  </si>
  <si>
    <t>编制单位：</t>
  </si>
  <si>
    <t>填报时间:</t>
  </si>
  <si>
    <t>组织机构代码：</t>
  </si>
  <si>
    <t>货币单位:</t>
  </si>
  <si>
    <t>人民币     CNY</t>
  </si>
  <si>
    <t>指标</t>
  </si>
  <si>
    <t>期初数</t>
  </si>
  <si>
    <t xml:space="preserve">期末数 </t>
  </si>
  <si>
    <t>一、外商投资企业资产合计</t>
  </si>
  <si>
    <t>其中：流动资产</t>
  </si>
  <si>
    <t>非流动资产</t>
  </si>
  <si>
    <t>二、外商投资企业负债合计</t>
  </si>
  <si>
    <t>其中：短期负债</t>
  </si>
  <si>
    <t>长期负债</t>
  </si>
  <si>
    <t>三、归属于外商投资企业全体股东的权益</t>
  </si>
  <si>
    <t>四、归属于外方股东的权益</t>
  </si>
  <si>
    <t>4.1归属外方股东的实收资本</t>
  </si>
  <si>
    <t>4.2外方股东享有的公积金及留存收益额</t>
  </si>
  <si>
    <t>其中：资本公积</t>
  </si>
  <si>
    <t>4.3其他</t>
  </si>
  <si>
    <t>五、外商投资企业少数股东权益</t>
  </si>
  <si>
    <t>六、外方投资者实际出资额</t>
  </si>
  <si>
    <t>七、外商投资企业应付外方股利</t>
  </si>
  <si>
    <t>八、外商投资企业盈利情况</t>
  </si>
  <si>
    <t>当期（上年）数</t>
  </si>
  <si>
    <t>历年累计</t>
  </si>
  <si>
    <t>归属于外商投资企业全体股东的净利润</t>
  </si>
  <si>
    <t>其中：外方股东享有的净利润</t>
  </si>
  <si>
    <t>分配外方股东的利润金额合计</t>
  </si>
  <si>
    <t>汇往外方股份的利润金额合计</t>
  </si>
  <si>
    <t>附注（仅投资性外商投资企业填写）</t>
  </si>
  <si>
    <t>权益法核算子公司中享有的权益期末数</t>
  </si>
  <si>
    <t>应付股利</t>
  </si>
  <si>
    <t>实收资本</t>
  </si>
  <si>
    <t>资本公积金</t>
  </si>
  <si>
    <t>其他</t>
  </si>
  <si>
    <t>成本法核算子公司中享有的权益期末数</t>
  </si>
  <si>
    <t>本表填写须知</t>
  </si>
  <si>
    <t xml:space="preserve">1、“流动资产”、“非流动资产”、“短期负债”、“长期负债”及“资产合计”、“负债合计”按照境内外商投资企业合并财务报表相关会计科目填写。 
2、“归属于外商投资企业全体股东的权益”按照境内外商投资企业合并财务报表相关会计科目填写。。 
3、“归属于外方股东的权益”：为外方股权比例或约定比例（符合相关法律法规的规定）乘以境内外商投资企业合并财务报表“归属于本机构全体股东的权益”。该项目应等于“4.1实收资本（归属于外方）”、“4.2外方享有的公积金及留存收益额”和“4.3其它”三项之和。外商投资企业中由境内投资性外商投资企业出资的部分视为中方投资者投资，不纳入本表的外方权益统计。 
4、“归属外方股东的实收资本”：为外方股权比例或约定比例（符合相关法律法规的规定）乘以境内外商投资企业合并财务报表“归属于本机构全体股东的权益”下“实收资本”。 
5、“外方股东享有的公积金及留存收益额”：按外方股权比例或约定比例（符合相关法律法规的规定）计算确定的外方股东应享有的资本公积、盈余公积和未分配利润等。其中，未执行财政部2006年2月15日颁布的《企业会计准则》的企业，其权益项目中的储备基金、发展基金等其他类留存收益余额可一并计入盈余公积。其中项“资本公积”、“盈余公积”和“未分配利润”均为按股权比例或约定比例计算的金额。 
6、“其它”：为外方股权比例或约定比例（符合相关法律法规的规定）乘以境内外商投资企业合并财务报表“归属于本机构全体股东的权益”下“其它”。 
7、“少数股东权益”按照境内外商投资企业合并财务报表相关会计科目填写。 
8、“外方投资者实际出资金额”：截至****年12月31日境外投资者以外汇、人民币、无形资产、实物资产等各类形式的实际出资及购买中方股权支付的交易对价，外商投资企业以应付外方股东利润、资本公积、盈余公积、未分配利润和已登记外债（可含利息）转增资本的实际出资。外方投资者溢、折价（符合相关法律法规的规定）投入的实际出资均应记入本项目。 外商投资企业中由境内投资性外商投资企业出资的部分视为中方投资者投资，不属于外方投资者实际出资金额。 
9、“应付外方股利”：外商投资企业已宣告分配但尚未支付给外方的股利（未扣除应代扣代缴的税款）。 
10、“归属于外商投资企业全体股东的净利润”按照外商投资企业财务报表（合并报表）相关会计科目填写，“其中：外方股东享有的净利润”按外方股权比例或约定比例（符合相关法律法规的规定）计算后填写。 
6、“其它”：为外方股权比例或约定比例（符合相关法律法规的规定）乘以境内外商投资企业合并财务报表“归属于本机构全体股东的权益”下“其它”。 
7、“少数股东权益”按照境内外商投资企业合并财务报表相关会计科目填写。 
8、“外方投资者实际出资金额”：截至****年12月31日境外投资者以外汇、人民币、无形资产、实物资产等各类形式的实际出资及购买中方股权支付的交易对价，外商投资企业以应付外方股东利润、资本公积、盈余公积、未分配利润和已登记外债（可含利息）转增资本的实际出资。外方投资者溢、折价（符合相关法律法规的规定）投入的实际出资均应记入本项目。 外商投资企业中由境内投资性外商投资企业出资的部分视为中方投资者投资，不属于外方投资者实际出资金额。 
9、“应付外方股利”：外商投资企业已宣告分配但尚未支付给外方的股利（未扣除应代扣代缴的税款）。 
10、“归属于外商投资企业全体股东的净利润”按照外商投资企业财务报表（合并报表）相关会计科目填写，“其中：外方股东享有的净利润”按外方股权比例或约定比例（符合相关法律法规的规定）计算后填写。 
11、“分配外方股东的利润金额合计”、“汇往外方股东的利润金额合计”当期数按上年度实际发生额填写，分配的利润和汇出的利润中可能包含以往年度产生的利润。 
12、“附注”：“应付股利”、“实收资本”、“资本公积”、“未分配利润”、“盈余公积”和“其他”仅投资性外商投资企业汇总境内子公司数据填写。境内子公司数据须区分按“权益法”核算或“成本法”核算的子公司进行分项填写，存在多家子公司的须填写合计权益金额。计算公式为：外方投资者实际享有权益=境内子公司权益×投资性外商投资企业中外国投资者股权比例或约定比例（符合相关法律法规的规定）×境内子公司中投资性外商投资企业股权比例或约定比例（符合相关法律法规的规定）。 
13、针对外商投资企业之间发生吸收合并的情况，被吸收公司应及时到注册地银行办理注销手续，不再重复进行外汇年报数据申报。存续公司的期初数应按照该公司期初的实际规模填写，期末数应按照吸收合并后新公司的实际金额填写。 
14、本表的期初数应与上年度申报的期末数相同。若确实存在对上年度数据调整，导致两者不同的，应在“备注栏”中详细注明原因和调整内容。 
15、本表的填报币种为人民币元，折算汇率应按照资金实际记账时的汇率进行折算。 
16、表中所有项目应保留小数点后两位。 
17、表中所有项目均为必填，为零的须填写“0”，不能为空白。
</t>
  </si>
  <si>
    <t xml:space="preserve">   Capital surplus</t>
    <phoneticPr fontId="14" type="noConversion"/>
  </si>
  <si>
    <t xml:space="preserve">    Cash</t>
    <phoneticPr fontId="14" type="noConversion"/>
  </si>
  <si>
    <t>Monetary Unit: CNY</t>
    <phoneticPr fontId="14" type="noConversion"/>
  </si>
  <si>
    <t>Legal representative :</t>
    <phoneticPr fontId="14" type="noConversion"/>
  </si>
  <si>
    <t xml:space="preserve">   流动资产：</t>
    <phoneticPr fontId="14" type="noConversion"/>
  </si>
  <si>
    <t>年末余额</t>
    <phoneticPr fontId="14" type="noConversion"/>
  </si>
  <si>
    <t xml:space="preserve">     流动负债：</t>
    <phoneticPr fontId="14" type="noConversion"/>
  </si>
  <si>
    <t xml:space="preserve">        持有待售负债</t>
    <phoneticPr fontId="14" type="noConversion"/>
  </si>
  <si>
    <t xml:space="preserve">     货币资金</t>
    <phoneticPr fontId="14" type="noConversion"/>
  </si>
  <si>
    <t xml:space="preserve">     预付款项</t>
    <phoneticPr fontId="14" type="noConversion"/>
  </si>
  <si>
    <t>资产</t>
    <phoneticPr fontId="14" type="noConversion"/>
  </si>
  <si>
    <t>负债和所有者权益</t>
    <phoneticPr fontId="14" type="noConversion"/>
  </si>
  <si>
    <t xml:space="preserve">        递延收益</t>
    <phoneticPr fontId="14" type="noConversion"/>
  </si>
  <si>
    <t xml:space="preserve">        递延所得税负债</t>
    <phoneticPr fontId="14" type="noConversion"/>
  </si>
  <si>
    <t xml:space="preserve">         资本公积</t>
    <phoneticPr fontId="14" type="noConversion"/>
  </si>
  <si>
    <t xml:space="preserve">            减: 库存股</t>
    <phoneticPr fontId="14" type="noConversion"/>
  </si>
  <si>
    <t>单位：人民币元</t>
    <phoneticPr fontId="14" type="noConversion"/>
  </si>
  <si>
    <t>ASSETS</t>
    <phoneticPr fontId="14" type="noConversion"/>
  </si>
  <si>
    <t xml:space="preserve">    Non-current assets due within 1 year</t>
    <phoneticPr fontId="14" type="noConversion"/>
  </si>
  <si>
    <t xml:space="preserve">     Total current assets</t>
    <phoneticPr fontId="14" type="noConversion"/>
  </si>
  <si>
    <t xml:space="preserve">      Total current liabilities</t>
    <phoneticPr fontId="14" type="noConversion"/>
  </si>
  <si>
    <t>LIABILITIES AND EQUITY</t>
    <phoneticPr fontId="14" type="noConversion"/>
  </si>
  <si>
    <t xml:space="preserve">        一年内到期的非流动负债</t>
    <phoneticPr fontId="14" type="noConversion"/>
  </si>
  <si>
    <t xml:space="preserve">        其他流动负债</t>
    <phoneticPr fontId="14" type="noConversion"/>
  </si>
  <si>
    <t xml:space="preserve">    所有者权益合计</t>
    <phoneticPr fontId="14" type="noConversion"/>
  </si>
  <si>
    <t>资  产  总  计</t>
    <phoneticPr fontId="14" type="noConversion"/>
  </si>
  <si>
    <t xml:space="preserve">   Long-term receivables</t>
    <phoneticPr fontId="14" type="noConversion"/>
  </si>
  <si>
    <t xml:space="preserve">   Long-term equity investment</t>
    <phoneticPr fontId="14" type="noConversion"/>
  </si>
  <si>
    <t xml:space="preserve">   Investment property</t>
    <phoneticPr fontId="14" type="noConversion"/>
  </si>
  <si>
    <t xml:space="preserve">   Fixed assets</t>
    <phoneticPr fontId="14" type="noConversion"/>
  </si>
  <si>
    <t xml:space="preserve">   Projects in progress</t>
    <phoneticPr fontId="14" type="noConversion"/>
  </si>
  <si>
    <t xml:space="preserve">    Bonds payable</t>
    <phoneticPr fontId="14" type="noConversion"/>
  </si>
  <si>
    <t xml:space="preserve">    Accrued liabilities</t>
    <phoneticPr fontId="14" type="noConversion"/>
  </si>
  <si>
    <t xml:space="preserve">    Deferred income</t>
    <phoneticPr fontId="14" type="noConversion"/>
  </si>
  <si>
    <t xml:space="preserve"> </t>
    <phoneticPr fontId="14" type="noConversion"/>
  </si>
  <si>
    <t xml:space="preserve">       流动负债合计</t>
    <phoneticPr fontId="14" type="noConversion"/>
  </si>
  <si>
    <t xml:space="preserve">    非流动负债：</t>
    <phoneticPr fontId="14" type="noConversion"/>
  </si>
  <si>
    <t xml:space="preserve">       非流动负债合计</t>
    <phoneticPr fontId="14" type="noConversion"/>
  </si>
  <si>
    <t>负 债 合 计</t>
    <phoneticPr fontId="14" type="noConversion"/>
  </si>
  <si>
    <t xml:space="preserve">    Total non-current liabilities</t>
    <phoneticPr fontId="14" type="noConversion"/>
  </si>
  <si>
    <r>
      <t xml:space="preserve">   Other non-current assets</t>
    </r>
    <r>
      <rPr>
        <sz val="12"/>
        <rFont val="宋体"/>
        <family val="3"/>
        <charset val="134"/>
      </rPr>
      <t/>
    </r>
    <phoneticPr fontId="14" type="noConversion"/>
  </si>
  <si>
    <t xml:space="preserve">   Surplus reserves</t>
    <phoneticPr fontId="14" type="noConversion"/>
  </si>
  <si>
    <t xml:space="preserve">   Intangible assets</t>
    <phoneticPr fontId="14" type="noConversion"/>
  </si>
  <si>
    <t xml:space="preserve">   Research &amp; Development Expenditure</t>
    <phoneticPr fontId="14" type="noConversion"/>
  </si>
  <si>
    <t xml:space="preserve">   Goodwill</t>
    <phoneticPr fontId="14" type="noConversion"/>
  </si>
  <si>
    <t xml:space="preserve">   Long-term deferred expenses  </t>
    <phoneticPr fontId="14" type="noConversion"/>
  </si>
  <si>
    <t xml:space="preserve">    Total non-current assets</t>
    <phoneticPr fontId="14" type="noConversion"/>
  </si>
  <si>
    <t>check</t>
    <phoneticPr fontId="14" type="noConversion"/>
  </si>
  <si>
    <t xml:space="preserve">    Taxes and levies payable</t>
    <phoneticPr fontId="14" type="noConversion"/>
  </si>
  <si>
    <t xml:space="preserve"> 加：会计政策变更</t>
    <phoneticPr fontId="14" type="noConversion"/>
  </si>
  <si>
    <t xml:space="preserve">     前期差错更正</t>
    <phoneticPr fontId="14" type="noConversion"/>
  </si>
  <si>
    <r>
      <t>1</t>
    </r>
    <r>
      <rPr>
        <b/>
        <sz val="14"/>
        <rFont val="仿宋"/>
        <family val="3"/>
        <charset val="134"/>
      </rPr>
      <t>、</t>
    </r>
    <r>
      <rPr>
        <b/>
        <sz val="14"/>
        <rFont val="Times New Roman"/>
        <family val="1"/>
      </rPr>
      <t>Cash flows from operating activities:</t>
    </r>
  </si>
  <si>
    <r>
      <t>2</t>
    </r>
    <r>
      <rPr>
        <b/>
        <sz val="14"/>
        <rFont val="仿宋"/>
        <family val="3"/>
        <charset val="134"/>
      </rPr>
      <t>、</t>
    </r>
    <r>
      <rPr>
        <b/>
        <sz val="14"/>
        <rFont val="Times New Roman"/>
        <family val="1"/>
      </rPr>
      <t>Cash flows from investing activities</t>
    </r>
  </si>
  <si>
    <r>
      <t>3</t>
    </r>
    <r>
      <rPr>
        <b/>
        <sz val="14"/>
        <rFont val="仿宋"/>
        <family val="3"/>
        <charset val="134"/>
      </rPr>
      <t>、</t>
    </r>
    <r>
      <rPr>
        <b/>
        <sz val="14"/>
        <rFont val="Times New Roman"/>
        <family val="1"/>
      </rPr>
      <t>Cash flows from financing activities:</t>
    </r>
  </si>
  <si>
    <r>
      <t>4</t>
    </r>
    <r>
      <rPr>
        <b/>
        <sz val="14"/>
        <rFont val="仿宋"/>
        <family val="3"/>
        <charset val="134"/>
      </rPr>
      <t>、</t>
    </r>
    <r>
      <rPr>
        <b/>
        <sz val="14"/>
        <rFont val="Times New Roman"/>
        <family val="1"/>
      </rPr>
      <t>Effect of foreign exchange rate changes on cash</t>
    </r>
  </si>
  <si>
    <t>经营活动现金流入小计</t>
    <phoneticPr fontId="14" type="noConversion"/>
  </si>
  <si>
    <t>经营活动现金流出小计</t>
    <phoneticPr fontId="14" type="noConversion"/>
  </si>
  <si>
    <t>投资活动现金流出小计</t>
    <phoneticPr fontId="14" type="noConversion"/>
  </si>
  <si>
    <t>筹资活动现金流入小计</t>
    <phoneticPr fontId="14" type="noConversion"/>
  </si>
  <si>
    <t>筹资活动现金流出小计</t>
    <phoneticPr fontId="14" type="noConversion"/>
  </si>
  <si>
    <r>
      <t>单位：人民币</t>
    </r>
    <r>
      <rPr>
        <sz val="11"/>
        <color indexed="8"/>
        <rFont val="仿宋"/>
        <family val="3"/>
        <charset val="134"/>
      </rPr>
      <t>元</t>
    </r>
  </si>
  <si>
    <t>For reference only</t>
    <phoneticPr fontId="14" type="noConversion"/>
  </si>
  <si>
    <t>现金流量表</t>
    <phoneticPr fontId="14" type="noConversion"/>
  </si>
  <si>
    <t xml:space="preserve"> 应纳税所得额调整表</t>
    <phoneticPr fontId="14" type="noConversion"/>
  </si>
  <si>
    <t>资产负债表</t>
    <phoneticPr fontId="14" type="noConversion"/>
  </si>
  <si>
    <r>
      <t>Add</t>
    </r>
    <r>
      <rPr>
        <sz val="14"/>
        <rFont val="宋体"/>
        <family val="3"/>
        <charset val="134"/>
      </rPr>
      <t>：</t>
    </r>
    <r>
      <rPr>
        <sz val="14"/>
        <rFont val="Times New Roman"/>
        <family val="1"/>
      </rPr>
      <t>Change of accounting policies</t>
    </r>
    <phoneticPr fontId="14" type="noConversion"/>
  </si>
  <si>
    <r>
      <t>III. Increase/decrease in current period</t>
    </r>
    <r>
      <rPr>
        <b/>
        <sz val="14"/>
        <rFont val="宋体"/>
        <family val="3"/>
        <charset val="134"/>
      </rPr>
      <t>（</t>
    </r>
    <r>
      <rPr>
        <b/>
        <sz val="14"/>
        <rFont val="Times New Roman"/>
        <family val="1"/>
      </rPr>
      <t>"</t>
    </r>
    <r>
      <rPr>
        <b/>
        <sz val="14"/>
        <rFont val="宋体"/>
        <family val="3"/>
        <charset val="134"/>
      </rPr>
      <t>－</t>
    </r>
    <r>
      <rPr>
        <b/>
        <sz val="14"/>
        <rFont val="Times New Roman"/>
        <family val="1"/>
      </rPr>
      <t>" indicating decrease</t>
    </r>
    <r>
      <rPr>
        <b/>
        <sz val="14"/>
        <rFont val="宋体"/>
        <family val="3"/>
        <charset val="134"/>
      </rPr>
      <t>）</t>
    </r>
  </si>
  <si>
    <r>
      <t>　　　　</t>
    </r>
    <r>
      <rPr>
        <sz val="14"/>
        <rFont val="Times New Roman"/>
        <family val="1"/>
      </rPr>
      <t xml:space="preserve"> 1. Paid-in capital from  owner</t>
    </r>
    <phoneticPr fontId="14" type="noConversion"/>
  </si>
  <si>
    <r>
      <rPr>
        <sz val="14"/>
        <rFont val="宋体"/>
        <family val="3"/>
        <charset val="134"/>
      </rPr>
      <t>　　　</t>
    </r>
    <r>
      <rPr>
        <sz val="14"/>
        <rFont val="Times New Roman"/>
        <family val="1"/>
      </rPr>
      <t xml:space="preserve">    1. Surplus reserve</t>
    </r>
  </si>
  <si>
    <r>
      <rPr>
        <sz val="14"/>
        <rFont val="宋体"/>
        <family val="3"/>
        <charset val="134"/>
      </rPr>
      <t>　　　　</t>
    </r>
    <r>
      <rPr>
        <sz val="14"/>
        <rFont val="Times New Roman"/>
        <family val="1"/>
      </rPr>
      <t xml:space="preserve">  2. Transfer surplus reserve into capital</t>
    </r>
  </si>
  <si>
    <r>
      <rPr>
        <sz val="14"/>
        <rFont val="宋体"/>
        <family val="3"/>
        <charset val="134"/>
      </rPr>
      <t>　　　　</t>
    </r>
    <r>
      <rPr>
        <sz val="14"/>
        <rFont val="Times New Roman"/>
        <family val="1"/>
      </rPr>
      <t xml:space="preserve">  3. Loss coverage by surplus reserve</t>
    </r>
  </si>
  <si>
    <t>一、营业收入</t>
    <phoneticPr fontId="14" type="noConversion"/>
  </si>
  <si>
    <t xml:space="preserve">      税金及附加</t>
    <phoneticPr fontId="14" type="noConversion"/>
  </si>
  <si>
    <t xml:space="preserve">      销售费用 </t>
    <phoneticPr fontId="14" type="noConversion"/>
  </si>
  <si>
    <t xml:space="preserve">      管理费用</t>
    <phoneticPr fontId="14" type="noConversion"/>
  </si>
  <si>
    <t xml:space="preserve">      财务费用</t>
    <phoneticPr fontId="14" type="noConversion"/>
  </si>
  <si>
    <t>二、营业利润（亏损以“－”号填列）</t>
    <phoneticPr fontId="14" type="noConversion"/>
  </si>
  <si>
    <t>三、利润总额（亏损总额以“－”号填列）</t>
    <phoneticPr fontId="14" type="noConversion"/>
  </si>
  <si>
    <t>四、净利润（净亏损以“－”号填列）</t>
    <phoneticPr fontId="14" type="noConversion"/>
  </si>
  <si>
    <t>（二）终止经营净利润（净亏损以“－”号填列）</t>
    <phoneticPr fontId="14" type="noConversion"/>
  </si>
  <si>
    <t>五、其他综合收益的税后净额</t>
    <phoneticPr fontId="14" type="noConversion"/>
  </si>
  <si>
    <t>六、综合收益总额</t>
    <phoneticPr fontId="14" type="noConversion"/>
  </si>
  <si>
    <t xml:space="preserve">(I) Net profit from going concern </t>
    <phoneticPr fontId="14" type="noConversion"/>
  </si>
  <si>
    <t xml:space="preserve">(I) Other comprehensive income that can't reclassfied into profit or loss </t>
    <phoneticPr fontId="14" type="noConversion"/>
  </si>
  <si>
    <t>Statement of Changes in  Equity</t>
    <phoneticPr fontId="14" type="noConversion"/>
  </si>
  <si>
    <t xml:space="preserve">          Errors amendement in the previous period</t>
    <phoneticPr fontId="14" type="noConversion"/>
  </si>
  <si>
    <t>*****</t>
    <phoneticPr fontId="14" type="noConversion"/>
  </si>
  <si>
    <t xml:space="preserve">      Cash paid investment</t>
    <phoneticPr fontId="14" type="noConversion"/>
  </si>
  <si>
    <t>五、现金及现金等价物净增加额</t>
    <phoneticPr fontId="14" type="noConversion"/>
  </si>
  <si>
    <t xml:space="preserve">     加：期初现金及现金等价物余额</t>
    <phoneticPr fontId="14" type="noConversion"/>
  </si>
  <si>
    <t xml:space="preserve">      Add:cash and cash equivalents at the beginning of the year</t>
    <phoneticPr fontId="14" type="noConversion"/>
  </si>
  <si>
    <r>
      <t>5</t>
    </r>
    <r>
      <rPr>
        <b/>
        <sz val="14"/>
        <rFont val="仿宋"/>
        <family val="3"/>
        <charset val="134"/>
      </rPr>
      <t>、</t>
    </r>
    <r>
      <rPr>
        <b/>
        <sz val="14"/>
        <rFont val="Times New Roman"/>
        <family val="1"/>
      </rPr>
      <t xml:space="preserve">Net increase and cash euqivalents in cash </t>
    </r>
    <phoneticPr fontId="14" type="noConversion"/>
  </si>
  <si>
    <t>取得投资收益收到的现金</t>
    <phoneticPr fontId="14" type="noConversion"/>
  </si>
  <si>
    <t>投资支付的现金</t>
    <phoneticPr fontId="14" type="noConversion"/>
  </si>
  <si>
    <t>处置固定资产、无形资产和其他长期资产而收回的现金净额</t>
    <phoneticPr fontId="14" type="noConversion"/>
  </si>
  <si>
    <t>处置子公司及其他营业单位收到的现金净额</t>
    <phoneticPr fontId="14" type="noConversion"/>
  </si>
  <si>
    <t>投资活动现金流入小计</t>
    <phoneticPr fontId="14" type="noConversion"/>
  </si>
  <si>
    <t>取得子公司及其他营业单位支付的现金净额</t>
    <phoneticPr fontId="14" type="noConversion"/>
  </si>
  <si>
    <t xml:space="preserve">     Cash received from investment income</t>
    <phoneticPr fontId="14" type="noConversion"/>
  </si>
  <si>
    <t xml:space="preserve">      Sub-total of cash inflows from investing activities</t>
    <phoneticPr fontId="14" type="noConversion"/>
  </si>
  <si>
    <t xml:space="preserve">      Sub-total of cash outflows from investing activities</t>
    <phoneticPr fontId="14" type="noConversion"/>
  </si>
  <si>
    <t xml:space="preserve">      Cash paid to the control of subsidaries and other entities </t>
    <phoneticPr fontId="14" type="noConversion"/>
  </si>
  <si>
    <t xml:space="preserve">      Sub-total of cash inflows from financing activities</t>
    <phoneticPr fontId="14" type="noConversion"/>
  </si>
  <si>
    <t xml:space="preserve">      Sub-total of cash outflows from financing activities</t>
    <phoneticPr fontId="14" type="noConversion"/>
  </si>
  <si>
    <r>
      <t>6</t>
    </r>
    <r>
      <rPr>
        <b/>
        <sz val="14"/>
        <rFont val="宋体"/>
        <family val="3"/>
        <charset val="134"/>
      </rPr>
      <t>、</t>
    </r>
    <r>
      <rPr>
        <b/>
        <sz val="14"/>
        <rFont val="Times New Roman"/>
        <family val="1"/>
      </rPr>
      <t>cash and cash equivalents at the end of the year</t>
    </r>
    <phoneticPr fontId="14" type="noConversion"/>
  </si>
  <si>
    <t xml:space="preserve">        其中：利息费用</t>
    <phoneticPr fontId="14" type="noConversion"/>
  </si>
  <si>
    <t xml:space="preserve">              利息收入</t>
    <phoneticPr fontId="14" type="noConversion"/>
  </si>
  <si>
    <t xml:space="preserve">     投资性房地产</t>
  </si>
  <si>
    <t xml:space="preserve">     固定资产</t>
  </si>
  <si>
    <t xml:space="preserve">     在建工程</t>
  </si>
  <si>
    <t xml:space="preserve">     生产性生物资产</t>
  </si>
  <si>
    <t xml:space="preserve">     油气资产</t>
  </si>
  <si>
    <t xml:space="preserve">        其他权益工具</t>
    <phoneticPr fontId="14" type="noConversion"/>
  </si>
  <si>
    <t xml:space="preserve">          其中：优先股</t>
    <phoneticPr fontId="14" type="noConversion"/>
  </si>
  <si>
    <t xml:space="preserve">                永续债</t>
    <phoneticPr fontId="14" type="noConversion"/>
  </si>
  <si>
    <t xml:space="preserve">     商誉</t>
  </si>
  <si>
    <t xml:space="preserve">     长期待摊费用</t>
  </si>
  <si>
    <t xml:space="preserve">     递延所得税资产</t>
  </si>
  <si>
    <t xml:space="preserve">     其他非流动资产</t>
  </si>
  <si>
    <t xml:space="preserve">    非流动资产合计</t>
  </si>
  <si>
    <t xml:space="preserve">     其他应收款</t>
  </si>
  <si>
    <t xml:space="preserve">     存货</t>
  </si>
  <si>
    <t xml:space="preserve">     持有待售资产</t>
  </si>
  <si>
    <t xml:space="preserve">     一年内到期的非流动资产</t>
  </si>
  <si>
    <t xml:space="preserve">     其他流动资产</t>
  </si>
  <si>
    <t xml:space="preserve">    流动资产合计</t>
  </si>
  <si>
    <t xml:space="preserve">  非流动资产：</t>
  </si>
  <si>
    <t xml:space="preserve">     长期应收款</t>
  </si>
  <si>
    <t xml:space="preserve">     长期股权投资</t>
  </si>
  <si>
    <t xml:space="preserve">     无形资产</t>
  </si>
  <si>
    <t xml:space="preserve">     开发支出</t>
  </si>
  <si>
    <t xml:space="preserve">     交易性金融资产</t>
    <phoneticPr fontId="14" type="noConversion"/>
  </si>
  <si>
    <t xml:space="preserve">     衍生金融资产</t>
    <phoneticPr fontId="14" type="noConversion"/>
  </si>
  <si>
    <t xml:space="preserve">        交易性金融负债</t>
    <phoneticPr fontId="14" type="noConversion"/>
  </si>
  <si>
    <t xml:space="preserve">        衍生金融负债</t>
    <phoneticPr fontId="14" type="noConversion"/>
  </si>
  <si>
    <t xml:space="preserve">        应付职工薪酬</t>
    <phoneticPr fontId="14" type="noConversion"/>
  </si>
  <si>
    <t xml:space="preserve">        应交税费</t>
    <phoneticPr fontId="14" type="noConversion"/>
  </si>
  <si>
    <t xml:space="preserve">        其他应付款</t>
    <phoneticPr fontId="14" type="noConversion"/>
  </si>
  <si>
    <t xml:space="preserve">      研发费用</t>
    <phoneticPr fontId="14" type="noConversion"/>
  </si>
  <si>
    <t>（一）持续经营净利润（净亏损以“－”号填列）</t>
    <phoneticPr fontId="14" type="noConversion"/>
  </si>
  <si>
    <t>（一）不能重分类进损益的其他综合收益</t>
    <phoneticPr fontId="14" type="noConversion"/>
  </si>
  <si>
    <t>（二）将重分类进损益的其他综合收益</t>
    <phoneticPr fontId="14" type="noConversion"/>
  </si>
  <si>
    <t>取得借款所收到的现金</t>
    <phoneticPr fontId="14" type="noConversion"/>
  </si>
  <si>
    <t>其他权益工具</t>
    <phoneticPr fontId="14" type="noConversion"/>
  </si>
  <si>
    <t>优先股</t>
    <phoneticPr fontId="14" type="noConversion"/>
  </si>
  <si>
    <t>永续债</t>
    <phoneticPr fontId="14" type="noConversion"/>
  </si>
  <si>
    <t>其他</t>
    <phoneticPr fontId="14" type="noConversion"/>
  </si>
  <si>
    <t>资本公积</t>
    <phoneticPr fontId="14" type="noConversion"/>
  </si>
  <si>
    <t>减：库存股</t>
    <phoneticPr fontId="14" type="noConversion"/>
  </si>
  <si>
    <t>其他综合收益</t>
    <phoneticPr fontId="14" type="noConversion"/>
  </si>
  <si>
    <t>盈余公积</t>
    <phoneticPr fontId="14" type="noConversion"/>
  </si>
  <si>
    <t>未分配利润</t>
    <phoneticPr fontId="14" type="noConversion"/>
  </si>
  <si>
    <t>所有者权益合计</t>
    <phoneticPr fontId="14" type="noConversion"/>
  </si>
  <si>
    <t>（二）所有者投入和减少资本</t>
    <phoneticPr fontId="14" type="noConversion"/>
  </si>
  <si>
    <t>3.股份支付计入所有者权益金额</t>
    <phoneticPr fontId="14" type="noConversion"/>
  </si>
  <si>
    <t>4.其他</t>
    <phoneticPr fontId="14" type="noConversion"/>
  </si>
  <si>
    <t>1.所有者投入的普通股</t>
    <phoneticPr fontId="14" type="noConversion"/>
  </si>
  <si>
    <t>2.其他权益工具持有者投入资本</t>
    <phoneticPr fontId="14" type="noConversion"/>
  </si>
  <si>
    <t>（三）利润分配</t>
    <phoneticPr fontId="14" type="noConversion"/>
  </si>
  <si>
    <t>（四）所有者权益内部结转</t>
    <phoneticPr fontId="14" type="noConversion"/>
  </si>
  <si>
    <t xml:space="preserve">1.资本公积转增资本（或股本）   </t>
    <phoneticPr fontId="14" type="noConversion"/>
  </si>
  <si>
    <t xml:space="preserve">2.盈余公积转增资本（或股本）   </t>
    <phoneticPr fontId="14" type="noConversion"/>
  </si>
  <si>
    <t>4.设定收益计划变动额结转留存收益</t>
    <phoneticPr fontId="14" type="noConversion"/>
  </si>
  <si>
    <t>2.对所有者（或股东）的分配</t>
    <phoneticPr fontId="14" type="noConversion"/>
  </si>
  <si>
    <t>3.其他</t>
    <phoneticPr fontId="14" type="noConversion"/>
  </si>
  <si>
    <t xml:space="preserve">    Derivative financial assets</t>
    <phoneticPr fontId="14" type="noConversion"/>
  </si>
  <si>
    <t xml:space="preserve">    Other receivables</t>
    <phoneticPr fontId="14" type="noConversion"/>
  </si>
  <si>
    <t xml:space="preserve">    Inventories</t>
    <phoneticPr fontId="14" type="noConversion"/>
  </si>
  <si>
    <t xml:space="preserve">   Other equity instruments</t>
    <phoneticPr fontId="14" type="noConversion"/>
  </si>
  <si>
    <t xml:space="preserve">   Oil-and-gas assets</t>
    <phoneticPr fontId="14" type="noConversion"/>
  </si>
  <si>
    <t xml:space="preserve">   Biological assets</t>
    <phoneticPr fontId="14" type="noConversion"/>
  </si>
  <si>
    <t xml:space="preserve">    Derivative financial assets</t>
    <phoneticPr fontId="14" type="noConversion"/>
  </si>
  <si>
    <t xml:space="preserve">    Other payables</t>
    <phoneticPr fontId="14" type="noConversion"/>
  </si>
  <si>
    <t xml:space="preserve">                            Perpetual capital securities</t>
    <phoneticPr fontId="14" type="noConversion"/>
  </si>
  <si>
    <t>Other equity instruments</t>
    <phoneticPr fontId="14" type="noConversion"/>
  </si>
  <si>
    <t>Preferred stock</t>
    <phoneticPr fontId="14" type="noConversion"/>
  </si>
  <si>
    <t xml:space="preserve">                         Perpetual capital securities</t>
    <phoneticPr fontId="14" type="noConversion"/>
  </si>
  <si>
    <t>Others</t>
    <phoneticPr fontId="14" type="noConversion"/>
  </si>
  <si>
    <t>Other comprehensive income</t>
    <phoneticPr fontId="14" type="noConversion"/>
  </si>
  <si>
    <t xml:space="preserve"> Capital surplus</t>
    <phoneticPr fontId="14" type="noConversion"/>
  </si>
  <si>
    <r>
      <t xml:space="preserve">   </t>
    </r>
    <r>
      <rPr>
        <sz val="14"/>
        <rFont val="宋体"/>
        <family val="3"/>
        <charset val="134"/>
      </rPr>
      <t>（</t>
    </r>
    <r>
      <rPr>
        <sz val="14"/>
        <rFont val="Times New Roman"/>
        <family val="1"/>
      </rPr>
      <t>II</t>
    </r>
    <r>
      <rPr>
        <sz val="14"/>
        <rFont val="宋体"/>
        <family val="3"/>
        <charset val="134"/>
      </rPr>
      <t>）</t>
    </r>
    <r>
      <rPr>
        <sz val="14"/>
        <rFont val="Times New Roman"/>
        <family val="1"/>
      </rPr>
      <t>Paid-in capital and capital reduction from owmer</t>
    </r>
    <phoneticPr fontId="14" type="noConversion"/>
  </si>
  <si>
    <r>
      <t xml:space="preserve"> </t>
    </r>
    <r>
      <rPr>
        <sz val="14"/>
        <rFont val="宋体"/>
        <family val="3"/>
        <charset val="134"/>
      </rPr>
      <t>　　　</t>
    </r>
    <r>
      <rPr>
        <sz val="14"/>
        <rFont val="Times New Roman"/>
        <family val="1"/>
      </rPr>
      <t xml:space="preserve">   4.Others</t>
    </r>
    <phoneticPr fontId="14" type="noConversion"/>
  </si>
  <si>
    <r>
      <t>　（</t>
    </r>
    <r>
      <rPr>
        <sz val="14"/>
        <rFont val="Times New Roman"/>
        <family val="1"/>
      </rPr>
      <t>III</t>
    </r>
    <r>
      <rPr>
        <sz val="14"/>
        <rFont val="宋体"/>
        <family val="3"/>
        <charset val="134"/>
      </rPr>
      <t>）</t>
    </r>
    <r>
      <rPr>
        <sz val="14"/>
        <rFont val="Times New Roman"/>
        <family val="1"/>
      </rPr>
      <t>Profit distribution</t>
    </r>
    <phoneticPr fontId="14" type="noConversion"/>
  </si>
  <si>
    <t xml:space="preserve">                 3.Others</t>
    <phoneticPr fontId="14" type="noConversion"/>
  </si>
  <si>
    <r>
      <t>　　</t>
    </r>
    <r>
      <rPr>
        <sz val="14"/>
        <rFont val="Times New Roman"/>
        <family val="1"/>
      </rPr>
      <t xml:space="preserve">    </t>
    </r>
    <r>
      <rPr>
        <sz val="14"/>
        <rFont val="宋体"/>
        <family val="3"/>
        <charset val="134"/>
      </rPr>
      <t>　</t>
    </r>
    <r>
      <rPr>
        <sz val="14"/>
        <rFont val="Times New Roman"/>
        <family val="1"/>
      </rPr>
      <t xml:space="preserve">2. Distribution to owners (shareholders)  </t>
    </r>
    <phoneticPr fontId="14" type="noConversion"/>
  </si>
  <si>
    <t xml:space="preserve">   Other comprehensive income</t>
    <phoneticPr fontId="14" type="noConversion"/>
  </si>
  <si>
    <t xml:space="preserve">                  2. Other equity instrument holders invest capital</t>
    <phoneticPr fontId="14" type="noConversion"/>
  </si>
  <si>
    <t xml:space="preserve">                 3.Share payment is included in the amount of owner's equity</t>
    <phoneticPr fontId="14" type="noConversion"/>
  </si>
  <si>
    <t xml:space="preserve">   流动资产：</t>
    <phoneticPr fontId="14" type="noConversion"/>
  </si>
  <si>
    <t xml:space="preserve">     流动负债：</t>
    <phoneticPr fontId="14" type="noConversion"/>
  </si>
  <si>
    <t xml:space="preserve">     货币资金</t>
    <phoneticPr fontId="14" type="noConversion"/>
  </si>
  <si>
    <t xml:space="preserve">     短期投资</t>
    <phoneticPr fontId="14" type="noConversion"/>
  </si>
  <si>
    <t xml:space="preserve">        应付票据</t>
  </si>
  <si>
    <t xml:space="preserve">     应收票据</t>
    <phoneticPr fontId="14" type="noConversion"/>
  </si>
  <si>
    <t xml:space="preserve">        应付账款</t>
  </si>
  <si>
    <t xml:space="preserve">     应收账款</t>
    <phoneticPr fontId="14" type="noConversion"/>
  </si>
  <si>
    <t xml:space="preserve">     预付账款</t>
    <phoneticPr fontId="14" type="noConversion"/>
  </si>
  <si>
    <t xml:space="preserve">        应付职工薪酬</t>
  </si>
  <si>
    <t xml:space="preserve">     应收股利</t>
    <phoneticPr fontId="14" type="noConversion"/>
  </si>
  <si>
    <t xml:space="preserve">        应交税费</t>
  </si>
  <si>
    <t xml:space="preserve">     应收利息</t>
    <phoneticPr fontId="14" type="noConversion"/>
  </si>
  <si>
    <t xml:space="preserve">        应付利息</t>
  </si>
  <si>
    <t xml:space="preserve">     其他应收款</t>
    <phoneticPr fontId="14" type="noConversion"/>
  </si>
  <si>
    <t xml:space="preserve">        应付利润</t>
    <phoneticPr fontId="14" type="noConversion"/>
  </si>
  <si>
    <t xml:space="preserve">     存货</t>
    <phoneticPr fontId="14" type="noConversion"/>
  </si>
  <si>
    <t xml:space="preserve">        其他应付款</t>
  </si>
  <si>
    <t xml:space="preserve">     其他流动资产</t>
    <phoneticPr fontId="14" type="noConversion"/>
  </si>
  <si>
    <t xml:space="preserve">        其他流动负债</t>
    <phoneticPr fontId="14" type="noConversion"/>
  </si>
  <si>
    <t xml:space="preserve">    流动资产合计</t>
    <phoneticPr fontId="14" type="noConversion"/>
  </si>
  <si>
    <t xml:space="preserve">       流动负债合计</t>
    <phoneticPr fontId="14" type="noConversion"/>
  </si>
  <si>
    <t xml:space="preserve">  非流动资产：</t>
    <phoneticPr fontId="14" type="noConversion"/>
  </si>
  <si>
    <t xml:space="preserve">     非流动负债：</t>
    <phoneticPr fontId="14" type="noConversion"/>
  </si>
  <si>
    <t xml:space="preserve">     长期债券投资</t>
    <phoneticPr fontId="14" type="noConversion"/>
  </si>
  <si>
    <t xml:space="preserve">     长期股权投资</t>
    <phoneticPr fontId="14" type="noConversion"/>
  </si>
  <si>
    <t xml:space="preserve">        长期应付款</t>
    <phoneticPr fontId="14" type="noConversion"/>
  </si>
  <si>
    <t xml:space="preserve">     固定资产</t>
    <phoneticPr fontId="14" type="noConversion"/>
  </si>
  <si>
    <t xml:space="preserve">        递延收益</t>
    <phoneticPr fontId="14" type="noConversion"/>
  </si>
  <si>
    <t xml:space="preserve">     在建工程</t>
    <phoneticPr fontId="14" type="noConversion"/>
  </si>
  <si>
    <t xml:space="preserve">        其他非流动负债</t>
    <phoneticPr fontId="14" type="noConversion"/>
  </si>
  <si>
    <t xml:space="preserve">     工程物资</t>
    <phoneticPr fontId="14" type="noConversion"/>
  </si>
  <si>
    <t xml:space="preserve">       非流动负债合计</t>
    <phoneticPr fontId="14" type="noConversion"/>
  </si>
  <si>
    <t xml:space="preserve">     固定资产清理</t>
    <phoneticPr fontId="14" type="noConversion"/>
  </si>
  <si>
    <t>负 债 合 计</t>
    <phoneticPr fontId="14" type="noConversion"/>
  </si>
  <si>
    <t xml:space="preserve">     所有者权益：</t>
    <phoneticPr fontId="14" type="noConversion"/>
  </si>
  <si>
    <t xml:space="preserve">     无形资产</t>
    <phoneticPr fontId="14" type="noConversion"/>
  </si>
  <si>
    <t xml:space="preserve">        实收资本（或股本）</t>
    <phoneticPr fontId="14" type="noConversion"/>
  </si>
  <si>
    <t xml:space="preserve">     开发支出</t>
    <phoneticPr fontId="14" type="noConversion"/>
  </si>
  <si>
    <t xml:space="preserve">        资本公积</t>
    <phoneticPr fontId="14" type="noConversion"/>
  </si>
  <si>
    <t xml:space="preserve">     长期待摊费用</t>
    <phoneticPr fontId="14" type="noConversion"/>
  </si>
  <si>
    <t xml:space="preserve">        盈余公积</t>
    <phoneticPr fontId="14" type="noConversion"/>
  </si>
  <si>
    <t xml:space="preserve">     其他非流动资产</t>
    <phoneticPr fontId="14" type="noConversion"/>
  </si>
  <si>
    <t xml:space="preserve">        未分配利润</t>
    <phoneticPr fontId="14" type="noConversion"/>
  </si>
  <si>
    <t xml:space="preserve">    非流动资产合计</t>
    <phoneticPr fontId="14" type="noConversion"/>
  </si>
  <si>
    <t>所有者权益合计</t>
    <phoneticPr fontId="14" type="noConversion"/>
  </si>
  <si>
    <t>资  产  总  计</t>
    <phoneticPr fontId="14" type="noConversion"/>
  </si>
  <si>
    <t>check</t>
    <phoneticPr fontId="14" type="noConversion"/>
  </si>
  <si>
    <t>单位：人民币元</t>
    <phoneticPr fontId="14" type="noConversion"/>
  </si>
  <si>
    <t>资产</t>
    <phoneticPr fontId="14" type="noConversion"/>
  </si>
  <si>
    <t>年末余额</t>
    <phoneticPr fontId="14" type="noConversion"/>
  </si>
  <si>
    <t>年初余额</t>
    <phoneticPr fontId="14" type="noConversion"/>
  </si>
  <si>
    <t>负债和所有者权益</t>
    <phoneticPr fontId="14" type="noConversion"/>
  </si>
  <si>
    <t>一、营业收入</t>
    <phoneticPr fontId="100" type="noConversion"/>
  </si>
  <si>
    <t xml:space="preserve"> 减： 营业成本</t>
    <phoneticPr fontId="100" type="noConversion"/>
  </si>
  <si>
    <t xml:space="preserve">      销售费用 </t>
    <phoneticPr fontId="100" type="noConversion"/>
  </si>
  <si>
    <t xml:space="preserve">      管理费用</t>
    <phoneticPr fontId="100" type="noConversion"/>
  </si>
  <si>
    <t xml:space="preserve">      财务费用</t>
    <phoneticPr fontId="100" type="noConversion"/>
  </si>
  <si>
    <t xml:space="preserve">   加： 投资收益（损失以“-”号填列）</t>
    <phoneticPr fontId="100" type="noConversion"/>
  </si>
  <si>
    <t>二、营业利润（亏损以“－”号填列）</t>
    <phoneticPr fontId="100" type="noConversion"/>
  </si>
  <si>
    <t>三、利润总额（亏损总额以“－”号填列）</t>
    <phoneticPr fontId="100" type="noConversion"/>
  </si>
  <si>
    <t>四、净利润（净亏损以“－”号填列）</t>
    <phoneticPr fontId="100" type="noConversion"/>
  </si>
  <si>
    <t>Monetary Unit: CNY</t>
    <phoneticPr fontId="100" type="noConversion"/>
  </si>
  <si>
    <t>ASSETS</t>
    <phoneticPr fontId="100" type="noConversion"/>
  </si>
  <si>
    <t>LIABILITIES AND EQUITY</t>
    <phoneticPr fontId="100" type="noConversion"/>
  </si>
  <si>
    <t xml:space="preserve">    Cash</t>
    <phoneticPr fontId="100" type="noConversion"/>
  </si>
  <si>
    <t xml:space="preserve">   Short-term loan</t>
    <phoneticPr fontId="100" type="noConversion"/>
  </si>
  <si>
    <t xml:space="preserve">    Short-term investment</t>
    <phoneticPr fontId="100" type="noConversion"/>
  </si>
  <si>
    <t xml:space="preserve">    Notes payable</t>
  </si>
  <si>
    <t xml:space="preserve">    Notes receivable</t>
  </si>
  <si>
    <t xml:space="preserve">    Accounts payable</t>
  </si>
  <si>
    <t xml:space="preserve">    Accounts receivable</t>
    <phoneticPr fontId="100" type="noConversion"/>
  </si>
  <si>
    <t xml:space="preserve">    Dividends receivable</t>
    <phoneticPr fontId="100" type="noConversion"/>
  </si>
  <si>
    <t xml:space="preserve">    Taxes and levies payable</t>
    <phoneticPr fontId="100" type="noConversion"/>
  </si>
  <si>
    <t xml:space="preserve">    Interest receivable</t>
    <phoneticPr fontId="100" type="noConversion"/>
  </si>
  <si>
    <t xml:space="preserve">    Interest payable</t>
  </si>
  <si>
    <t xml:space="preserve">    Other receivables</t>
  </si>
  <si>
    <t xml:space="preserve">    Profit payable</t>
    <phoneticPr fontId="100" type="noConversion"/>
  </si>
  <si>
    <t xml:space="preserve">    Inventories</t>
  </si>
  <si>
    <t xml:space="preserve">    Other payables</t>
  </si>
  <si>
    <t xml:space="preserve">     Total current assets</t>
    <phoneticPr fontId="100" type="noConversion"/>
  </si>
  <si>
    <t xml:space="preserve">      Total current liabilities</t>
    <phoneticPr fontId="100" type="noConversion"/>
  </si>
  <si>
    <t xml:space="preserve">   Long-term bond investments</t>
    <phoneticPr fontId="100" type="noConversion"/>
  </si>
  <si>
    <t xml:space="preserve">   Long-term equity investments</t>
    <phoneticPr fontId="100" type="noConversion"/>
  </si>
  <si>
    <t xml:space="preserve">   Fixed assets</t>
    <phoneticPr fontId="100" type="noConversion"/>
  </si>
  <si>
    <t xml:space="preserve">    Deferred income</t>
    <phoneticPr fontId="100" type="noConversion"/>
  </si>
  <si>
    <t xml:space="preserve">   Projects in progress</t>
    <phoneticPr fontId="100" type="noConversion"/>
  </si>
  <si>
    <t xml:space="preserve">   Construction materials</t>
    <phoneticPr fontId="100" type="noConversion"/>
  </si>
  <si>
    <t xml:space="preserve">    Total non-current liabilities</t>
    <phoneticPr fontId="100" type="noConversion"/>
  </si>
  <si>
    <t xml:space="preserve">   Biological assets </t>
    <phoneticPr fontId="100" type="noConversion"/>
  </si>
  <si>
    <t xml:space="preserve">   Intangible assets</t>
    <phoneticPr fontId="100" type="noConversion"/>
  </si>
  <si>
    <t xml:space="preserve">   Research &amp; Development Expenditure</t>
    <phoneticPr fontId="100" type="noConversion"/>
  </si>
  <si>
    <t xml:space="preserve">   Capital surplus</t>
    <phoneticPr fontId="100" type="noConversion"/>
  </si>
  <si>
    <t xml:space="preserve">   Long-term deferred expenses  </t>
    <phoneticPr fontId="100" type="noConversion"/>
  </si>
  <si>
    <t xml:space="preserve">   Surplus reserves</t>
    <phoneticPr fontId="100" type="noConversion"/>
  </si>
  <si>
    <t xml:space="preserve">    Total non-current assets</t>
    <phoneticPr fontId="100" type="noConversion"/>
  </si>
  <si>
    <t>check</t>
    <phoneticPr fontId="100" type="noConversion"/>
  </si>
  <si>
    <t xml:space="preserve">        Taxes and associate charges</t>
    <phoneticPr fontId="100" type="noConversion"/>
  </si>
  <si>
    <t>（一）净利润</t>
    <phoneticPr fontId="14" type="noConversion"/>
  </si>
  <si>
    <r>
      <t xml:space="preserve">    </t>
    </r>
    <r>
      <rPr>
        <sz val="14"/>
        <rFont val="宋体"/>
        <family val="3"/>
        <charset val="134"/>
      </rPr>
      <t>（</t>
    </r>
    <r>
      <rPr>
        <sz val="14"/>
        <rFont val="Times New Roman"/>
        <family val="1"/>
      </rPr>
      <t>I</t>
    </r>
    <r>
      <rPr>
        <sz val="14"/>
        <rFont val="宋体"/>
        <family val="3"/>
        <charset val="134"/>
      </rPr>
      <t>）</t>
    </r>
    <r>
      <rPr>
        <sz val="14"/>
        <rFont val="Times New Roman"/>
        <family val="1"/>
      </rPr>
      <t>Net profit</t>
    </r>
    <phoneticPr fontId="14" type="noConversion"/>
  </si>
  <si>
    <t>调整事项</t>
  </si>
  <si>
    <t>调整性质</t>
  </si>
  <si>
    <t>英语</t>
  </si>
  <si>
    <t>本年度未收到发票的费用</t>
  </si>
  <si>
    <t>纳税调整增加额项目</t>
  </si>
  <si>
    <t xml:space="preserve">expenses whose invoice didn't be collected this year </t>
  </si>
  <si>
    <t>不可抵扣的保险费用</t>
  </si>
  <si>
    <t>存货跌价准备</t>
  </si>
  <si>
    <t>Inventory impairment provision</t>
  </si>
  <si>
    <t>雇主责任险</t>
  </si>
  <si>
    <t xml:space="preserve">Employer's Liability insurance </t>
  </si>
  <si>
    <t>行政罚款支出</t>
  </si>
  <si>
    <t>administrative penalty payment</t>
  </si>
  <si>
    <t>坏帐准备</t>
  </si>
  <si>
    <t>bad debt provision</t>
  </si>
  <si>
    <t>坏帐准备转回</t>
  </si>
  <si>
    <t>纳税调整减少额项目</t>
  </si>
  <si>
    <t>reversal of bad debt provison</t>
  </si>
  <si>
    <t>可抵减的广告费与业务宣传费</t>
  </si>
  <si>
    <t>advertisement and publicity expenses to be deducted in coming years</t>
  </si>
  <si>
    <t>没有发票的费用</t>
  </si>
  <si>
    <t>expenses without official invoices</t>
  </si>
  <si>
    <t>未实现汇兑损溢</t>
  </si>
  <si>
    <t>unrealized exchange gain or loss</t>
  </si>
  <si>
    <t>无形资产摊销</t>
  </si>
  <si>
    <t>amortization of Intangible assets</t>
  </si>
  <si>
    <t>业务招待费超支</t>
  </si>
  <si>
    <t>以前年度没有发票的费用在本年度收到</t>
  </si>
  <si>
    <t xml:space="preserve">expenses occurred in previous years without invoices, but whose invoices  was collected this year </t>
  </si>
  <si>
    <t>应付职工薪酬期初数</t>
  </si>
  <si>
    <t>beginning balance of Employee salaries and benefits payable</t>
  </si>
  <si>
    <t>应付职工薪酬期末数</t>
  </si>
  <si>
    <t>ending balance of Employee salaries and benefits payable</t>
  </si>
  <si>
    <t>预提费用期初数</t>
  </si>
  <si>
    <t xml:space="preserve">beginning balance of Accrued expenses
</t>
  </si>
  <si>
    <t>预提费用期末数</t>
  </si>
  <si>
    <t xml:space="preserve">ending balance of Accrued expenses
</t>
  </si>
  <si>
    <t>转回的存货跌价准备</t>
  </si>
  <si>
    <t>reversal of  inventory impairment provision</t>
  </si>
  <si>
    <t>转回的可抵减的广告费与业务宣传费</t>
  </si>
  <si>
    <t>reversal of advertisement and publicity expenses not deducted in previous years</t>
  </si>
  <si>
    <t>Undeductible business entertainment fee</t>
    <phoneticPr fontId="101" type="noConversion"/>
  </si>
  <si>
    <t>参考：</t>
    <phoneticPr fontId="14" type="noConversion"/>
  </si>
  <si>
    <t>Undeductible insuranc feee</t>
    <phoneticPr fontId="14" type="noConversion"/>
  </si>
  <si>
    <r>
      <rPr>
        <sz val="12"/>
        <rFont val="宋体"/>
        <family val="3"/>
        <charset val="134"/>
      </rPr>
      <t>请只改动</t>
    </r>
    <r>
      <rPr>
        <sz val="12"/>
        <rFont val="Times New Roman"/>
        <family val="1"/>
      </rPr>
      <t xml:space="preserve"> </t>
    </r>
    <r>
      <rPr>
        <sz val="12"/>
        <rFont val="宋体"/>
        <family val="3"/>
        <charset val="134"/>
      </rPr>
      <t>红字部分的</t>
    </r>
    <r>
      <rPr>
        <sz val="12"/>
        <rFont val="Times New Roman"/>
        <family val="1"/>
      </rPr>
      <t xml:space="preserve"> </t>
    </r>
    <r>
      <rPr>
        <sz val="12"/>
        <rFont val="宋体"/>
        <family val="3"/>
        <charset val="134"/>
      </rPr>
      <t>客户公司名称</t>
    </r>
    <r>
      <rPr>
        <sz val="12"/>
        <rFont val="Times New Roman"/>
        <family val="1"/>
      </rPr>
      <t xml:space="preserve"> </t>
    </r>
    <r>
      <rPr>
        <sz val="12"/>
        <rFont val="宋体"/>
        <family val="3"/>
        <charset val="134"/>
      </rPr>
      <t>，与公章名字保持绝对一致</t>
    </r>
    <phoneticPr fontId="14" type="noConversion"/>
  </si>
  <si>
    <t>说明   1</t>
    <phoneticPr fontId="14" type="noConversion"/>
  </si>
  <si>
    <t>红色表格为小企业准则适用的资产负债表及利润表</t>
    <phoneticPr fontId="14" type="noConversion"/>
  </si>
  <si>
    <t xml:space="preserve">Legal representative: </t>
    <phoneticPr fontId="14" type="noConversion"/>
  </si>
  <si>
    <t xml:space="preserve">Accounting  manager: </t>
    <phoneticPr fontId="14" type="noConversion"/>
  </si>
  <si>
    <t>年初余额</t>
    <phoneticPr fontId="14" type="noConversion"/>
  </si>
  <si>
    <t xml:space="preserve">        应付票据</t>
    <phoneticPr fontId="14" type="noConversion"/>
  </si>
  <si>
    <t xml:space="preserve">        应付账款</t>
    <phoneticPr fontId="14" type="noConversion"/>
  </si>
  <si>
    <t>财务负责人：</t>
    <phoneticPr fontId="14" type="noConversion"/>
  </si>
  <si>
    <t>法定代表人：</t>
    <phoneticPr fontId="14" type="noConversion"/>
  </si>
  <si>
    <t>法定代表人：</t>
    <phoneticPr fontId="100" type="noConversion"/>
  </si>
  <si>
    <t>财务负责人：</t>
    <phoneticPr fontId="100" type="noConversion"/>
  </si>
  <si>
    <t>财务负责人：</t>
    <phoneticPr fontId="14" type="noConversion"/>
  </si>
  <si>
    <t>收回投资所收到的现金</t>
    <phoneticPr fontId="14" type="noConversion"/>
  </si>
  <si>
    <t xml:space="preserve">      Cash paid to acquire fixed assets,intangible assets and other long-term assets</t>
    <phoneticPr fontId="14" type="noConversion"/>
  </si>
  <si>
    <t xml:space="preserve">      Net cash received from disposal of subsidary and other entities </t>
    <phoneticPr fontId="14" type="noConversion"/>
  </si>
  <si>
    <t>六：期末现金及现金等价物余额</t>
    <phoneticPr fontId="14" type="noConversion"/>
  </si>
  <si>
    <t xml:space="preserve">     Cash received from recovery of investment</t>
    <phoneticPr fontId="14" type="noConversion"/>
  </si>
  <si>
    <t>购建固定资产、无形资产和其他长期资产支付的现金</t>
    <phoneticPr fontId="14" type="noConversion"/>
  </si>
  <si>
    <t xml:space="preserve">     其他</t>
    <phoneticPr fontId="14" type="noConversion"/>
  </si>
  <si>
    <t xml:space="preserve">         其他综合收益</t>
    <phoneticPr fontId="14" type="noConversion"/>
  </si>
  <si>
    <t xml:space="preserve">         盈余公积</t>
    <phoneticPr fontId="14" type="noConversion"/>
  </si>
  <si>
    <t xml:space="preserve">         未分配利润</t>
    <phoneticPr fontId="14" type="noConversion"/>
  </si>
  <si>
    <r>
      <t>IV. P</t>
    </r>
    <r>
      <rPr>
        <sz val="11"/>
        <rFont val="Times New Roman"/>
        <family val="1"/>
      </rPr>
      <t>rofit after tax adjustments</t>
    </r>
    <phoneticPr fontId="14" type="noConversion"/>
  </si>
  <si>
    <t>II. Add: Increased amount</t>
    <phoneticPr fontId="14" type="noConversion"/>
  </si>
  <si>
    <t xml:space="preserve">I. Audited accounting profit </t>
    <phoneticPr fontId="14" type="noConversion"/>
  </si>
  <si>
    <t>III. Less: Decreased amount</t>
    <phoneticPr fontId="14" type="noConversion"/>
  </si>
  <si>
    <t>V. Make up for prior year losses</t>
    <phoneticPr fontId="14" type="noConversion"/>
  </si>
  <si>
    <t>VI. Taxable income</t>
    <phoneticPr fontId="14" type="noConversion"/>
  </si>
  <si>
    <t xml:space="preserve">          Others</t>
    <phoneticPr fontId="14" type="noConversion"/>
  </si>
  <si>
    <r>
      <t xml:space="preserve">Paid-in capital
</t>
    </r>
    <r>
      <rPr>
        <b/>
        <sz val="14"/>
        <rFont val="宋体"/>
        <family val="3"/>
        <charset val="134"/>
      </rPr>
      <t>（</t>
    </r>
    <r>
      <rPr>
        <b/>
        <sz val="14"/>
        <rFont val="Times New Roman"/>
        <family val="1"/>
      </rPr>
      <t>Share capital</t>
    </r>
    <r>
      <rPr>
        <b/>
        <sz val="14"/>
        <rFont val="宋体"/>
        <family val="3"/>
        <charset val="134"/>
      </rPr>
      <t>）</t>
    </r>
    <phoneticPr fontId="14" type="noConversion"/>
  </si>
  <si>
    <t>Less: Treasury stock</t>
    <phoneticPr fontId="14" type="noConversion"/>
  </si>
  <si>
    <t>Perpetual capital securities</t>
    <phoneticPr fontId="14" type="noConversion"/>
  </si>
  <si>
    <t>II. Balance at the beginning of this year</t>
    <phoneticPr fontId="14" type="noConversion"/>
  </si>
  <si>
    <t>I. Balance at the end of last year</t>
    <phoneticPr fontId="14" type="noConversion"/>
  </si>
  <si>
    <r>
      <rPr>
        <sz val="14"/>
        <rFont val="宋体"/>
        <family val="3"/>
        <charset val="134"/>
      </rPr>
      <t>　　　　</t>
    </r>
    <r>
      <rPr>
        <sz val="14"/>
        <rFont val="Times New Roman"/>
        <family val="1"/>
      </rPr>
      <t xml:space="preserve">  1. Transfer capital surplus into capital</t>
    </r>
    <phoneticPr fontId="14" type="noConversion"/>
  </si>
  <si>
    <t xml:space="preserve">                   4. Set the change of benefit plan and carry forward retained earnings</t>
    <phoneticPr fontId="14" type="noConversion"/>
  </si>
  <si>
    <t>Accounting  manager:</t>
    <phoneticPr fontId="14" type="noConversion"/>
  </si>
  <si>
    <t>Legal representative:</t>
    <phoneticPr fontId="14" type="noConversion"/>
  </si>
  <si>
    <t xml:space="preserve">(II) Other comprehensive incomet that can be  reclassfied into profit or loss </t>
    <phoneticPr fontId="14" type="noConversion"/>
  </si>
  <si>
    <t>(II) Net profit form discounting operation</t>
    <phoneticPr fontId="14" type="noConversion"/>
  </si>
  <si>
    <t>V. Other  comprehensive income</t>
    <phoneticPr fontId="14" type="noConversion"/>
  </si>
  <si>
    <t>VI. Total comprehensive income</t>
    <phoneticPr fontId="14" type="noConversion"/>
  </si>
  <si>
    <t>Accounting  manager:</t>
    <phoneticPr fontId="100" type="noConversion"/>
  </si>
  <si>
    <t xml:space="preserve">Legal representative: </t>
    <phoneticPr fontId="100" type="noConversion"/>
  </si>
  <si>
    <t>Owner's equity (Shareholder's equity):</t>
    <phoneticPr fontId="100" type="noConversion"/>
  </si>
  <si>
    <t xml:space="preserve">   Paid-in capital (Share capital)</t>
    <phoneticPr fontId="100" type="noConversion"/>
  </si>
  <si>
    <r>
      <rPr>
        <sz val="12"/>
        <rFont val="宋体"/>
        <family val="3"/>
        <charset val="134"/>
      </rPr>
      <t>填写时，请</t>
    </r>
    <r>
      <rPr>
        <b/>
        <sz val="12"/>
        <color indexed="10"/>
        <rFont val="宋体"/>
        <family val="3"/>
        <charset val="134"/>
      </rPr>
      <t>先填中文报表</t>
    </r>
    <r>
      <rPr>
        <b/>
        <sz val="12"/>
        <color indexed="10"/>
        <rFont val="宋体"/>
        <family val="3"/>
        <charset val="134"/>
      </rPr>
      <t>，标水绿色为设有公式，</t>
    </r>
    <r>
      <rPr>
        <sz val="12"/>
        <rFont val="宋体"/>
        <family val="3"/>
        <charset val="134"/>
      </rPr>
      <t>英文报表自动勾稽生成数据</t>
    </r>
    <phoneticPr fontId="14" type="noConversion"/>
  </si>
  <si>
    <r>
      <rPr>
        <sz val="12"/>
        <rFont val="宋体"/>
        <family val="3"/>
        <charset val="134"/>
      </rPr>
      <t>现金流量表适用</t>
    </r>
    <r>
      <rPr>
        <sz val="12"/>
        <rFont val="宋体"/>
        <family val="3"/>
        <charset val="134"/>
      </rPr>
      <t>于</t>
    </r>
    <r>
      <rPr>
        <sz val="12"/>
        <rFont val="宋体"/>
        <family val="3"/>
        <charset val="134"/>
      </rPr>
      <t>小企业及企业会计准则</t>
    </r>
    <phoneticPr fontId="14" type="noConversion"/>
  </si>
  <si>
    <t>所有者权益变动表仅适用于企业会计准则，小企业不需填</t>
    <phoneticPr fontId="14" type="noConversion"/>
  </si>
  <si>
    <t>Current assets:</t>
    <phoneticPr fontId="14" type="noConversion"/>
  </si>
  <si>
    <t xml:space="preserve">    Notes receivable</t>
    <phoneticPr fontId="14" type="noConversion"/>
  </si>
  <si>
    <t xml:space="preserve">    Accounts receivable</t>
    <phoneticPr fontId="14" type="noConversion"/>
  </si>
  <si>
    <t xml:space="preserve">    Notes payable</t>
    <phoneticPr fontId="14" type="noConversion"/>
  </si>
  <si>
    <t xml:space="preserve">    Accounts payable</t>
    <phoneticPr fontId="14" type="noConversion"/>
  </si>
  <si>
    <t>Non-current assets:</t>
    <phoneticPr fontId="14" type="noConversion"/>
  </si>
  <si>
    <r>
      <t xml:space="preserve">   </t>
    </r>
    <r>
      <rPr>
        <sz val="14"/>
        <rFont val="Times New Roman"/>
        <family val="1"/>
      </rPr>
      <t xml:space="preserve">Deferred income tax assets </t>
    </r>
    <phoneticPr fontId="14" type="noConversion"/>
  </si>
  <si>
    <t>Current liabilities:</t>
    <phoneticPr fontId="14" type="noConversion"/>
  </si>
  <si>
    <t xml:space="preserve">    Held-for-trading financial assets</t>
    <phoneticPr fontId="14" type="noConversion"/>
  </si>
  <si>
    <t xml:space="preserve">    Held-for-trading financial liabilities</t>
    <phoneticPr fontId="14" type="noConversion"/>
  </si>
  <si>
    <t xml:space="preserve">    Held-for-sale assets</t>
    <phoneticPr fontId="14" type="noConversion"/>
  </si>
  <si>
    <t xml:space="preserve">    Held-for-sale liabilities</t>
    <phoneticPr fontId="14" type="noConversion"/>
  </si>
  <si>
    <t>Non-current liabilities:</t>
    <phoneticPr fontId="14" type="noConversion"/>
  </si>
  <si>
    <t xml:space="preserve">          Including: Preferred stock</t>
    <phoneticPr fontId="14" type="noConversion"/>
  </si>
  <si>
    <t xml:space="preserve">    Deferred income tax liabilities</t>
    <phoneticPr fontId="14" type="noConversion"/>
  </si>
  <si>
    <t>Owner's equity:</t>
    <phoneticPr fontId="14" type="noConversion"/>
  </si>
  <si>
    <t xml:space="preserve">   Paid-in capital (Share capital)</t>
    <phoneticPr fontId="14" type="noConversion"/>
  </si>
  <si>
    <t xml:space="preserve">       Including: Preferred stock</t>
    <phoneticPr fontId="14" type="noConversion"/>
  </si>
  <si>
    <r>
      <t>　</t>
    </r>
    <r>
      <rPr>
        <sz val="14"/>
        <rFont val="Times New Roman"/>
        <family val="1"/>
      </rPr>
      <t xml:space="preserve">  Less: Treasury stock</t>
    </r>
    <phoneticPr fontId="14" type="noConversion"/>
  </si>
  <si>
    <r>
      <t>Total owner's equity</t>
    </r>
    <r>
      <rPr>
        <b/>
        <sz val="14"/>
        <color indexed="8"/>
        <rFont val="宋体"/>
        <family val="3"/>
        <charset val="134"/>
      </rPr>
      <t/>
    </r>
    <phoneticPr fontId="14" type="noConversion"/>
  </si>
  <si>
    <t xml:space="preserve">   Undistributed profits</t>
    <phoneticPr fontId="14" type="noConversion"/>
  </si>
  <si>
    <t>Current assets:</t>
    <phoneticPr fontId="100" type="noConversion"/>
  </si>
  <si>
    <t>Current liabilities:</t>
    <phoneticPr fontId="100" type="noConversion"/>
  </si>
  <si>
    <t>Non-current assets:</t>
    <phoneticPr fontId="100" type="noConversion"/>
  </si>
  <si>
    <t>Non-current liabilities:</t>
    <phoneticPr fontId="100" type="noConversion"/>
  </si>
  <si>
    <t xml:space="preserve">        预收款项</t>
    <phoneticPr fontId="14" type="noConversion"/>
  </si>
  <si>
    <t xml:space="preserve">        预收账款</t>
    <phoneticPr fontId="14" type="noConversion"/>
  </si>
  <si>
    <t xml:space="preserve">      税金及附加</t>
    <phoneticPr fontId="100" type="noConversion"/>
  </si>
  <si>
    <r>
      <rPr>
        <sz val="14"/>
        <rFont val="宋体"/>
        <family val="3"/>
        <charset val="134"/>
      </rPr>
      <t>　（</t>
    </r>
    <r>
      <rPr>
        <sz val="14"/>
        <rFont val="Times New Roman"/>
        <family val="1"/>
      </rPr>
      <t>IV</t>
    </r>
    <r>
      <rPr>
        <sz val="14"/>
        <rFont val="宋体"/>
        <family val="3"/>
        <charset val="134"/>
      </rPr>
      <t>）</t>
    </r>
    <r>
      <rPr>
        <sz val="14"/>
        <rFont val="Times New Roman"/>
        <family val="1"/>
      </rPr>
      <t>Internal transfer of sharholders' equity</t>
    </r>
    <phoneticPr fontId="14" type="noConversion"/>
  </si>
  <si>
    <r>
      <rPr>
        <sz val="12"/>
        <rFont val="宋体"/>
        <family val="3"/>
        <charset val="134"/>
      </rPr>
      <t>　　</t>
    </r>
    <r>
      <rPr>
        <sz val="12"/>
        <rFont val="Times New Roman"/>
        <family val="1"/>
      </rPr>
      <t>Add</t>
    </r>
    <r>
      <rPr>
        <sz val="12"/>
        <rFont val="宋体"/>
        <family val="3"/>
        <charset val="134"/>
      </rPr>
      <t>：</t>
    </r>
    <r>
      <rPr>
        <sz val="12"/>
        <rFont val="Times New Roman"/>
        <family val="1"/>
      </rPr>
      <t>Non-operational income</t>
    </r>
  </si>
  <si>
    <r>
      <rPr>
        <sz val="12"/>
        <rFont val="宋体"/>
        <family val="3"/>
        <charset val="134"/>
      </rPr>
      <t>　　</t>
    </r>
    <r>
      <rPr>
        <sz val="12"/>
        <rFont val="Times New Roman"/>
        <family val="1"/>
      </rPr>
      <t>Less</t>
    </r>
    <r>
      <rPr>
        <sz val="12"/>
        <rFont val="宋体"/>
        <family val="3"/>
        <charset val="134"/>
      </rPr>
      <t>：</t>
    </r>
    <r>
      <rPr>
        <sz val="12"/>
        <rFont val="Times New Roman"/>
        <family val="1"/>
      </rPr>
      <t>Non-operational expenses</t>
    </r>
  </si>
  <si>
    <r>
      <rPr>
        <sz val="12"/>
        <rFont val="宋体"/>
        <family val="3"/>
        <charset val="134"/>
      </rPr>
      <t>　　</t>
    </r>
    <r>
      <rPr>
        <sz val="12"/>
        <rFont val="Times New Roman"/>
        <family val="1"/>
      </rPr>
      <t xml:space="preserve"> Sales expenses</t>
    </r>
    <phoneticPr fontId="100" type="noConversion"/>
  </si>
  <si>
    <r>
      <rPr>
        <sz val="12"/>
        <rFont val="宋体"/>
        <family val="3"/>
        <charset val="134"/>
      </rPr>
      <t>　　</t>
    </r>
    <r>
      <rPr>
        <sz val="12"/>
        <rFont val="Times New Roman"/>
        <family val="1"/>
      </rPr>
      <t xml:space="preserve"> General &amp; Administrative expenses</t>
    </r>
    <phoneticPr fontId="100" type="noConversion"/>
  </si>
  <si>
    <r>
      <rPr>
        <sz val="12"/>
        <rFont val="宋体"/>
        <family val="3"/>
        <charset val="134"/>
      </rPr>
      <t>　　</t>
    </r>
    <r>
      <rPr>
        <sz val="12"/>
        <rFont val="Times New Roman"/>
        <family val="1"/>
      </rPr>
      <t xml:space="preserve"> Financial expenses</t>
    </r>
    <phoneticPr fontId="100" type="noConversion"/>
  </si>
  <si>
    <r>
      <rPr>
        <sz val="12"/>
        <rFont val="宋体"/>
        <family val="3"/>
        <charset val="134"/>
      </rPr>
      <t>　</t>
    </r>
    <r>
      <rPr>
        <sz val="12"/>
        <rFont val="Times New Roman"/>
        <family val="1"/>
      </rPr>
      <t>Add</t>
    </r>
    <r>
      <rPr>
        <sz val="12"/>
        <rFont val="宋体"/>
        <family val="3"/>
        <charset val="134"/>
      </rPr>
      <t>：</t>
    </r>
    <r>
      <rPr>
        <sz val="12"/>
        <rFont val="Times New Roman"/>
        <family val="1"/>
      </rPr>
      <t>Investment income</t>
    </r>
    <r>
      <rPr>
        <sz val="12"/>
        <rFont val="宋体"/>
        <family val="3"/>
        <charset val="134"/>
      </rPr>
      <t>（</t>
    </r>
    <r>
      <rPr>
        <sz val="12"/>
        <rFont val="Times New Roman"/>
        <family val="1"/>
      </rPr>
      <t>"</t>
    </r>
    <r>
      <rPr>
        <sz val="12"/>
        <rFont val="宋体"/>
        <family val="3"/>
        <charset val="134"/>
      </rPr>
      <t>－</t>
    </r>
    <r>
      <rPr>
        <sz val="12"/>
        <rFont val="Times New Roman"/>
        <family val="1"/>
      </rPr>
      <t>"indicating loss</t>
    </r>
    <r>
      <rPr>
        <sz val="12"/>
        <rFont val="宋体"/>
        <family val="3"/>
        <charset val="134"/>
      </rPr>
      <t>）</t>
    </r>
    <phoneticPr fontId="100" type="noConversion"/>
  </si>
  <si>
    <r>
      <rPr>
        <b/>
        <sz val="12"/>
        <rFont val="宋体"/>
        <family val="3"/>
        <charset val="134"/>
      </rPr>
      <t>Ⅱ</t>
    </r>
    <r>
      <rPr>
        <b/>
        <sz val="12"/>
        <rFont val="Times New Roman"/>
        <family val="1"/>
      </rPr>
      <t>.Operational profit</t>
    </r>
    <r>
      <rPr>
        <b/>
        <sz val="12"/>
        <rFont val="宋体"/>
        <family val="3"/>
        <charset val="134"/>
      </rPr>
      <t>（</t>
    </r>
    <r>
      <rPr>
        <b/>
        <sz val="12"/>
        <rFont val="Times New Roman"/>
        <family val="1"/>
      </rPr>
      <t>"</t>
    </r>
    <r>
      <rPr>
        <b/>
        <sz val="12"/>
        <rFont val="宋体"/>
        <family val="3"/>
        <charset val="134"/>
      </rPr>
      <t>－</t>
    </r>
    <r>
      <rPr>
        <b/>
        <sz val="12"/>
        <rFont val="Times New Roman"/>
        <family val="1"/>
      </rPr>
      <t>"indicating loss</t>
    </r>
    <r>
      <rPr>
        <b/>
        <sz val="12"/>
        <rFont val="宋体"/>
        <family val="3"/>
        <charset val="134"/>
      </rPr>
      <t>）</t>
    </r>
    <phoneticPr fontId="100" type="noConversion"/>
  </si>
  <si>
    <r>
      <t>III.  Total profit</t>
    </r>
    <r>
      <rPr>
        <b/>
        <sz val="12"/>
        <color indexed="8"/>
        <rFont val="宋体"/>
        <family val="3"/>
        <charset val="134"/>
      </rPr>
      <t>（</t>
    </r>
    <r>
      <rPr>
        <b/>
        <sz val="12"/>
        <color indexed="8"/>
        <rFont val="Times New Roman"/>
        <family val="1"/>
      </rPr>
      <t>"</t>
    </r>
    <r>
      <rPr>
        <b/>
        <sz val="12"/>
        <color indexed="8"/>
        <rFont val="宋体"/>
        <family val="3"/>
        <charset val="134"/>
      </rPr>
      <t>－</t>
    </r>
    <r>
      <rPr>
        <b/>
        <sz val="12"/>
        <color indexed="8"/>
        <rFont val="Times New Roman"/>
        <family val="1"/>
      </rPr>
      <t>" indicating total loss</t>
    </r>
    <r>
      <rPr>
        <b/>
        <sz val="12"/>
        <color indexed="8"/>
        <rFont val="宋体"/>
        <family val="3"/>
        <charset val="134"/>
      </rPr>
      <t>）</t>
    </r>
    <phoneticPr fontId="100" type="noConversion"/>
  </si>
  <si>
    <r>
      <rPr>
        <sz val="12"/>
        <rFont val="宋体"/>
        <family val="3"/>
        <charset val="134"/>
      </rPr>
      <t>　　</t>
    </r>
    <r>
      <rPr>
        <sz val="12"/>
        <rFont val="Times New Roman"/>
        <family val="1"/>
      </rPr>
      <t>Less</t>
    </r>
    <r>
      <rPr>
        <sz val="12"/>
        <rFont val="宋体"/>
        <family val="3"/>
        <charset val="134"/>
      </rPr>
      <t>：</t>
    </r>
    <r>
      <rPr>
        <sz val="12"/>
        <rFont val="Times New Roman"/>
        <family val="1"/>
      </rPr>
      <t>Enterprise income tax</t>
    </r>
    <phoneticPr fontId="100" type="noConversion"/>
  </si>
  <si>
    <r>
      <t>IV. Net profit</t>
    </r>
    <r>
      <rPr>
        <b/>
        <sz val="12"/>
        <rFont val="宋体"/>
        <family val="3"/>
        <charset val="134"/>
      </rPr>
      <t>（</t>
    </r>
    <r>
      <rPr>
        <b/>
        <sz val="12"/>
        <rFont val="Times New Roman"/>
        <family val="1"/>
      </rPr>
      <t>"</t>
    </r>
    <r>
      <rPr>
        <b/>
        <sz val="12"/>
        <rFont val="宋体"/>
        <family val="3"/>
        <charset val="134"/>
      </rPr>
      <t>－</t>
    </r>
    <r>
      <rPr>
        <b/>
        <sz val="12"/>
        <rFont val="Times New Roman"/>
        <family val="1"/>
      </rPr>
      <t>" indicating net loss</t>
    </r>
    <r>
      <rPr>
        <b/>
        <sz val="12"/>
        <rFont val="宋体"/>
        <family val="3"/>
        <charset val="134"/>
      </rPr>
      <t>）</t>
    </r>
    <phoneticPr fontId="100" type="noConversion"/>
  </si>
  <si>
    <r>
      <t xml:space="preserve"> </t>
    </r>
    <r>
      <rPr>
        <sz val="12"/>
        <rFont val="Times New Roman"/>
        <family val="1"/>
      </rPr>
      <t>Fixed assets on disposal</t>
    </r>
    <phoneticPr fontId="100" type="noConversion"/>
  </si>
  <si>
    <r>
      <t xml:space="preserve">   Other non-current assets</t>
    </r>
    <r>
      <rPr>
        <sz val="12"/>
        <rFont val="宋体"/>
        <family val="3"/>
        <charset val="134"/>
      </rPr>
      <t/>
    </r>
    <phoneticPr fontId="100" type="noConversion"/>
  </si>
  <si>
    <r>
      <t xml:space="preserve"> </t>
    </r>
    <r>
      <rPr>
        <sz val="12"/>
        <rFont val="Times New Roman"/>
        <family val="1"/>
      </rPr>
      <t>Undistributed profit</t>
    </r>
    <phoneticPr fontId="100" type="noConversion"/>
  </si>
  <si>
    <r>
      <t>Total owner's equity</t>
    </r>
    <r>
      <rPr>
        <b/>
        <sz val="12"/>
        <color indexed="8"/>
        <rFont val="Times New Roman"/>
        <family val="1"/>
      </rPr>
      <t xml:space="preserve"> (excl. losses of assets)</t>
    </r>
    <phoneticPr fontId="100" type="noConversion"/>
  </si>
  <si>
    <t xml:space="preserve">      Cash payments for distribution of dividends or profits, and interest</t>
    <phoneticPr fontId="14" type="noConversion"/>
  </si>
  <si>
    <t xml:space="preserve">Statement of Financial Position </t>
    <phoneticPr fontId="14" type="noConversion"/>
  </si>
  <si>
    <t xml:space="preserve">Statement of Comprehensive Income </t>
    <phoneticPr fontId="14" type="noConversion"/>
  </si>
  <si>
    <t xml:space="preserve">Statement of Financial Position </t>
    <phoneticPr fontId="100" type="noConversion"/>
  </si>
  <si>
    <t xml:space="preserve">Statement of Comprehensive Income </t>
    <phoneticPr fontId="100" type="noConversion"/>
  </si>
  <si>
    <t xml:space="preserve">     生产性生物资产</t>
    <phoneticPr fontId="14" type="noConversion"/>
  </si>
  <si>
    <t xml:space="preserve">     合同资产</t>
    <phoneticPr fontId="14" type="noConversion"/>
  </si>
  <si>
    <t xml:space="preserve">     其他债权投资</t>
    <phoneticPr fontId="14" type="noConversion"/>
  </si>
  <si>
    <t xml:space="preserve">     债权投资</t>
    <phoneticPr fontId="14" type="noConversion"/>
  </si>
  <si>
    <t xml:space="preserve">     应收款项融资</t>
    <phoneticPr fontId="14" type="noConversion"/>
  </si>
  <si>
    <t xml:space="preserve">     其他权益工具投资</t>
    <phoneticPr fontId="14" type="noConversion"/>
  </si>
  <si>
    <t xml:space="preserve">     其他非流动金融资产</t>
    <phoneticPr fontId="14" type="noConversion"/>
  </si>
  <si>
    <t xml:space="preserve">     使用权资产</t>
    <phoneticPr fontId="14" type="noConversion"/>
  </si>
  <si>
    <t xml:space="preserve">        合同负债</t>
    <phoneticPr fontId="14" type="noConversion"/>
  </si>
  <si>
    <t xml:space="preserve">        租赁负债</t>
    <phoneticPr fontId="14" type="noConversion"/>
  </si>
  <si>
    <t xml:space="preserve">     所有者权益：</t>
    <phoneticPr fontId="14" type="noConversion"/>
  </si>
  <si>
    <t xml:space="preserve">         专项储备</t>
    <phoneticPr fontId="14" type="noConversion"/>
  </si>
  <si>
    <t xml:space="preserve">    Receivables financing</t>
    <phoneticPr fontId="14" type="noConversion"/>
  </si>
  <si>
    <t xml:space="preserve">    Contract assets</t>
    <phoneticPr fontId="14" type="noConversion"/>
  </si>
  <si>
    <t xml:space="preserve">   Other equity instrument investment</t>
    <phoneticPr fontId="14" type="noConversion"/>
  </si>
  <si>
    <t xml:space="preserve">   Other non-current financial assets</t>
    <phoneticPr fontId="14" type="noConversion"/>
  </si>
  <si>
    <t xml:space="preserve">   Right-of-use assets</t>
    <phoneticPr fontId="14" type="noConversion"/>
  </si>
  <si>
    <t xml:space="preserve">    Contract liabilities</t>
    <phoneticPr fontId="14" type="noConversion"/>
  </si>
  <si>
    <t xml:space="preserve">   Bonds investment</t>
    <phoneticPr fontId="14" type="noConversion"/>
  </si>
  <si>
    <t xml:space="preserve">   Other bonds investment</t>
    <phoneticPr fontId="14" type="noConversion"/>
  </si>
  <si>
    <t xml:space="preserve">    Lease liabilities</t>
    <phoneticPr fontId="14" type="noConversion"/>
  </si>
  <si>
    <t xml:space="preserve">   Special reserves</t>
    <phoneticPr fontId="14" type="noConversion"/>
  </si>
  <si>
    <t>Accounting  manager:</t>
    <phoneticPr fontId="14" type="noConversion"/>
  </si>
  <si>
    <t xml:space="preserve"> 减： 营业成本</t>
    <phoneticPr fontId="14" type="noConversion"/>
  </si>
  <si>
    <t xml:space="preserve"> 加： 其他收益</t>
    <phoneticPr fontId="14" type="noConversion"/>
  </si>
  <si>
    <t xml:space="preserve">     投资收益（损失以“-”号填列）</t>
    <phoneticPr fontId="14" type="noConversion"/>
  </si>
  <si>
    <t xml:space="preserve">       其中：对联营企业和合营企业的投资收益</t>
    <phoneticPr fontId="14" type="noConversion"/>
  </si>
  <si>
    <t xml:space="preserve">             以摊余成本计量的金融资产终止确认收益（损失以“-”号填列）</t>
    <phoneticPr fontId="14" type="noConversion"/>
  </si>
  <si>
    <t xml:space="preserve">      资产处置收益（损失以“-”号填列）</t>
    <phoneticPr fontId="14" type="noConversion"/>
  </si>
  <si>
    <t xml:space="preserve">      信用减值损失（损失以“-”号填列）</t>
    <phoneticPr fontId="14" type="noConversion"/>
  </si>
  <si>
    <t xml:space="preserve">      资产减值损失（损失以“-”号填列）</t>
    <phoneticPr fontId="14" type="noConversion"/>
  </si>
  <si>
    <t xml:space="preserve">      净敞口套期收益（损失以“-”号填列）</t>
    <phoneticPr fontId="14" type="noConversion"/>
  </si>
  <si>
    <t xml:space="preserve">      公允价值变动收益（损失以“-”号填列）</t>
    <phoneticPr fontId="14" type="noConversion"/>
  </si>
  <si>
    <r>
      <t>II. Operational profit</t>
    </r>
    <r>
      <rPr>
        <b/>
        <sz val="14"/>
        <rFont val="宋体"/>
        <family val="3"/>
        <charset val="134"/>
      </rPr>
      <t>（</t>
    </r>
    <r>
      <rPr>
        <b/>
        <sz val="14"/>
        <rFont val="Times New Roman"/>
        <family val="1"/>
      </rPr>
      <t>"</t>
    </r>
    <r>
      <rPr>
        <b/>
        <sz val="14"/>
        <rFont val="宋体"/>
        <family val="3"/>
        <charset val="134"/>
      </rPr>
      <t>－</t>
    </r>
    <r>
      <rPr>
        <b/>
        <sz val="14"/>
        <rFont val="Times New Roman"/>
        <family val="1"/>
      </rPr>
      <t>"indicating loss</t>
    </r>
    <r>
      <rPr>
        <b/>
        <sz val="14"/>
        <rFont val="宋体"/>
        <family val="3"/>
        <charset val="134"/>
      </rPr>
      <t>）</t>
    </r>
    <phoneticPr fontId="14" type="noConversion"/>
  </si>
  <si>
    <r>
      <t>III. Total profit</t>
    </r>
    <r>
      <rPr>
        <b/>
        <sz val="14"/>
        <color indexed="8"/>
        <rFont val="宋体"/>
        <family val="3"/>
        <charset val="134"/>
      </rPr>
      <t>（</t>
    </r>
    <r>
      <rPr>
        <b/>
        <sz val="14"/>
        <color indexed="8"/>
        <rFont val="Times New Roman"/>
        <family val="1"/>
      </rPr>
      <t>"</t>
    </r>
    <r>
      <rPr>
        <b/>
        <sz val="14"/>
        <color indexed="8"/>
        <rFont val="宋体"/>
        <family val="3"/>
        <charset val="134"/>
      </rPr>
      <t>－</t>
    </r>
    <r>
      <rPr>
        <b/>
        <sz val="14"/>
        <color indexed="8"/>
        <rFont val="Times New Roman"/>
        <family val="1"/>
      </rPr>
      <t>" indicating total loss</t>
    </r>
    <r>
      <rPr>
        <b/>
        <sz val="14"/>
        <color indexed="8"/>
        <rFont val="宋体"/>
        <family val="3"/>
        <charset val="134"/>
      </rPr>
      <t>）</t>
    </r>
    <phoneticPr fontId="14" type="noConversion"/>
  </si>
  <si>
    <r>
      <t>IV. Net profit</t>
    </r>
    <r>
      <rPr>
        <b/>
        <sz val="14"/>
        <rFont val="宋体"/>
        <family val="3"/>
        <charset val="134"/>
      </rPr>
      <t>（</t>
    </r>
    <r>
      <rPr>
        <b/>
        <sz val="14"/>
        <rFont val="Times New Roman"/>
        <family val="1"/>
      </rPr>
      <t>"</t>
    </r>
    <r>
      <rPr>
        <b/>
        <sz val="14"/>
        <rFont val="宋体"/>
        <family val="3"/>
        <charset val="134"/>
      </rPr>
      <t>－</t>
    </r>
    <r>
      <rPr>
        <b/>
        <sz val="14"/>
        <rFont val="Times New Roman"/>
        <family val="1"/>
      </rPr>
      <t>" indicating net loss</t>
    </r>
    <r>
      <rPr>
        <b/>
        <sz val="14"/>
        <rFont val="宋体"/>
        <family val="3"/>
        <charset val="134"/>
      </rPr>
      <t>）</t>
    </r>
    <phoneticPr fontId="14" type="noConversion"/>
  </si>
  <si>
    <t>Less:</t>
    <phoneticPr fontId="14" type="noConversion"/>
  </si>
  <si>
    <t>Taxes and associate charges</t>
    <phoneticPr fontId="14" type="noConversion"/>
  </si>
  <si>
    <t>Sales expenses</t>
    <phoneticPr fontId="14" type="noConversion"/>
  </si>
  <si>
    <t>General &amp; Administrative expenses</t>
    <phoneticPr fontId="14" type="noConversion"/>
  </si>
  <si>
    <t>Financial expenses</t>
    <phoneticPr fontId="14" type="noConversion"/>
  </si>
  <si>
    <t>Interest expenses</t>
    <phoneticPr fontId="14" type="noConversion"/>
  </si>
  <si>
    <t>Interest income</t>
    <phoneticPr fontId="14" type="noConversion"/>
  </si>
  <si>
    <t xml:space="preserve">    Incl.:</t>
    <phoneticPr fontId="14" type="noConversion"/>
  </si>
  <si>
    <t>Add:</t>
    <phoneticPr fontId="14" type="noConversion"/>
  </si>
  <si>
    <r>
      <t>Investment income</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</si>
  <si>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t>Investmetnt income in associated  enterprises and joint ventures</t>
    <phoneticPr fontId="14" type="noConversion"/>
  </si>
  <si>
    <r>
      <t>Earnings from ceasing to recognize financial assets measured at amortized cost</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</si>
  <si>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r>
      <t>Net exposure hedging gain</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</si>
  <si>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r>
      <t>Income on the changes in fair value</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</si>
  <si>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r>
      <t>Loss of credit impairment</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</si>
  <si>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r>
      <t>Asset impairment loss</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</si>
  <si>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r>
      <t>Gain on non-current assets disposal</t>
    </r>
    <r>
      <rPr>
        <sz val="14"/>
        <rFont val="宋体"/>
        <family val="3"/>
        <charset val="134"/>
      </rPr>
      <t>（</t>
    </r>
    <r>
      <rPr>
        <sz val="14"/>
        <rFont val="Times New Roman"/>
        <family val="1"/>
      </rPr>
      <t>"</t>
    </r>
    <r>
      <rPr>
        <sz val="14"/>
        <rFont val="宋体"/>
        <family val="3"/>
        <charset val="134"/>
      </rPr>
      <t>－</t>
    </r>
    <r>
      <rPr>
        <sz val="14"/>
        <rFont val="Times New Roman"/>
        <family val="1"/>
      </rPr>
      <t>" indicating loss</t>
    </r>
    <r>
      <rPr>
        <sz val="14"/>
        <rFont val="宋体"/>
        <family val="3"/>
        <charset val="134"/>
      </rPr>
      <t>）</t>
    </r>
    <phoneticPr fontId="14" type="noConversion"/>
  </si>
  <si>
    <t>Add:</t>
    <phoneticPr fontId="14" type="noConversion"/>
  </si>
  <si>
    <t>Less:</t>
    <phoneticPr fontId="14" type="noConversion"/>
  </si>
  <si>
    <t>Non-operational income</t>
    <phoneticPr fontId="14" type="noConversion"/>
  </si>
  <si>
    <t>Non-operational expenses</t>
    <phoneticPr fontId="14" type="noConversion"/>
  </si>
  <si>
    <t>Enterprise income tax</t>
    <phoneticPr fontId="14" type="noConversion"/>
  </si>
  <si>
    <t>6.其他</t>
    <phoneticPr fontId="14" type="noConversion"/>
  </si>
  <si>
    <t>5.其他综合收益结转留存收益</t>
    <phoneticPr fontId="14" type="noConversion"/>
  </si>
  <si>
    <r>
      <rPr>
        <sz val="14"/>
        <rFont val="宋体"/>
        <family val="3"/>
        <charset val="134"/>
      </rPr>
      <t>　　　　</t>
    </r>
    <r>
      <rPr>
        <sz val="14"/>
        <rFont val="Times New Roman"/>
        <family val="1"/>
      </rPr>
      <t xml:space="preserve"> 6. Others</t>
    </r>
    <phoneticPr fontId="14" type="noConversion"/>
  </si>
  <si>
    <t xml:space="preserve">                   5. Other comprehensive income carried forward to retained earnings</t>
    <phoneticPr fontId="14" type="noConversion"/>
  </si>
  <si>
    <t>***公司</t>
    <phoneticPr fontId="14" type="noConversion"/>
  </si>
  <si>
    <t>资产负债表</t>
    <phoneticPr fontId="14" type="noConversion"/>
  </si>
  <si>
    <t>实收资本（或股本）</t>
    <phoneticPr fontId="14" type="noConversion"/>
  </si>
  <si>
    <t>Taxable Income Calculation</t>
    <phoneticPr fontId="14" type="noConversion"/>
  </si>
  <si>
    <t>Accounting  manager:</t>
    <phoneticPr fontId="100" type="noConversion"/>
  </si>
  <si>
    <t>Legal representative:</t>
    <phoneticPr fontId="100" type="noConversion"/>
  </si>
  <si>
    <t xml:space="preserve">      Net cash received from disposal of fixed assets, intangible assets and other long-term assets</t>
    <phoneticPr fontId="14" type="noConversion"/>
  </si>
  <si>
    <t xml:space="preserve">    Advances to suppliers </t>
    <phoneticPr fontId="14" type="noConversion"/>
  </si>
  <si>
    <t xml:space="preserve">   Short-term loans</t>
    <phoneticPr fontId="14" type="noConversion"/>
  </si>
  <si>
    <t xml:space="preserve">    Advances from customers</t>
    <phoneticPr fontId="14" type="noConversion"/>
  </si>
  <si>
    <t xml:space="preserve">    Long-term loans</t>
    <phoneticPr fontId="14" type="noConversion"/>
  </si>
  <si>
    <t>Research &amp; Development Expenses</t>
    <phoneticPr fontId="14" type="noConversion"/>
  </si>
  <si>
    <t>I. Operational revenues</t>
    <phoneticPr fontId="14" type="noConversion"/>
  </si>
  <si>
    <t>Operational costs</t>
    <phoneticPr fontId="14" type="noConversion"/>
  </si>
  <si>
    <t>Other incomes</t>
    <phoneticPr fontId="14" type="noConversion"/>
  </si>
  <si>
    <t xml:space="preserve">    Advances to suppliers</t>
    <phoneticPr fontId="100" type="noConversion"/>
  </si>
  <si>
    <t xml:space="preserve">    Advances from customers</t>
    <phoneticPr fontId="100" type="noConversion"/>
  </si>
  <si>
    <t>I. Operational revenues</t>
    <phoneticPr fontId="100" type="noConversion"/>
  </si>
  <si>
    <t>Less: Operational costs</t>
    <phoneticPr fontId="100" type="noConversion"/>
  </si>
  <si>
    <t xml:space="preserve">Monetary Unit: CNY </t>
    <phoneticPr fontId="14" type="noConversion"/>
  </si>
  <si>
    <t xml:space="preserve">Monetary Unit: CNY </t>
    <phoneticPr fontId="100" type="noConversion"/>
  </si>
  <si>
    <r>
      <t>2022</t>
    </r>
    <r>
      <rPr>
        <sz val="12"/>
        <color indexed="8"/>
        <rFont val="仿宋_GB2312"/>
        <family val="3"/>
        <charset val="134"/>
      </rPr>
      <t>年度</t>
    </r>
    <phoneticPr fontId="14" type="noConversion"/>
  </si>
  <si>
    <t>December 31,2022</t>
    <phoneticPr fontId="14" type="noConversion"/>
  </si>
  <si>
    <t>For the year ended December 31, 2022</t>
    <phoneticPr fontId="14" type="noConversion"/>
  </si>
  <si>
    <t>As at December 31, 2022</t>
    <phoneticPr fontId="14" type="noConversion"/>
  </si>
  <si>
    <t>2022年</t>
    <phoneticPr fontId="100" type="noConversion"/>
  </si>
  <si>
    <t>2021年</t>
    <phoneticPr fontId="100" type="noConversion"/>
  </si>
  <si>
    <t>2022年度</t>
    <phoneticPr fontId="100" type="noConversion"/>
  </si>
  <si>
    <t>As at December 31, 2022</t>
    <phoneticPr fontId="100" type="noConversion"/>
  </si>
  <si>
    <t>Year 2022</t>
    <phoneticPr fontId="100" type="noConversion"/>
  </si>
  <si>
    <t>2022年</t>
    <phoneticPr fontId="14" type="noConversion"/>
  </si>
  <si>
    <t>2021年</t>
    <phoneticPr fontId="14" type="noConversion"/>
  </si>
  <si>
    <t>Year 2022</t>
    <phoneticPr fontId="14" type="noConversion"/>
  </si>
  <si>
    <t>Year 2021</t>
    <phoneticPr fontId="14" type="noConversion"/>
  </si>
  <si>
    <t>2022年度</t>
    <phoneticPr fontId="14" type="noConversion"/>
  </si>
  <si>
    <t xml:space="preserve">2022年 </t>
    <phoneticPr fontId="14" type="noConversion"/>
  </si>
  <si>
    <t>2021年</t>
    <phoneticPr fontId="14" type="noConversion"/>
  </si>
  <si>
    <t>Year 2022</t>
    <phoneticPr fontId="14" type="noConversion"/>
  </si>
  <si>
    <t>Year 2021</t>
    <phoneticPr fontId="14" type="noConversion"/>
  </si>
  <si>
    <r>
      <t>2022</t>
    </r>
    <r>
      <rPr>
        <sz val="12"/>
        <color indexed="8"/>
        <rFont val="仿宋"/>
        <family val="3"/>
        <charset val="134"/>
      </rPr>
      <t>年度</t>
    </r>
    <phoneticPr fontId="14" type="noConversion"/>
  </si>
  <si>
    <t>Year 2021</t>
    <phoneticPr fontId="100" type="noConversion"/>
  </si>
  <si>
    <t>FOR THE PERIOD ENDED 31 DECEMBER 2022</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</si>
</sst>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9">
    <numFmt numFmtId="41" formatCode="_ * #,##0_ ;_ * \-#,##0_ ;_ * &quot;-&quot;_ ;_ @_ "/>
    <numFmt numFmtId="43" formatCode="_ * #,##0.00_ ;_ * \-#,##0.00_ ;_ * &quot;-&quot;??_ ;_ @_ "/>
    <numFmt numFmtId="176" formatCode="_-* #,##0.0000000000_-;\-* #,##0.0000000000_-;_-* &quot;-&quot;??_-;_-@_-"/>
    <numFmt numFmtId="177" formatCode="_-* #,##0.00\ _B_E_F_-;\-* #,##0.00\ _B_E_F_-;_-* &quot;-&quot;??\ _B_E_F_-;_-@_-"/>
    <numFmt numFmtId="178" formatCode="#,##0.00\ &quot;FB&quot;;[Red]\-#,##0.00\ &quot;FB&quot;"/>
    <numFmt numFmtId="179" formatCode="&quot;¥&quot;#,##0;\-&quot;¥&quot;#,##0"/>
    <numFmt numFmtId="180" formatCode="&quot;?#,##0;\-&quot;?#,##0"/>
    <numFmt numFmtId="181" formatCode="_-* #,##0&quot;¥&quot;_-;\-* #,##0&quot;¥&quot;_-;_-* &quot;-&quot;&quot;¥&quot;_-;_-@_-"/>
    <numFmt numFmtId="182" formatCode="_-* #,##0_-;\-* #,##0_-;_-* &quot;-&quot;_-;_-@_-"/>
    <numFmt numFmtId="183" formatCode="#,##0.0_);\(#,##0.0\)"/>
    <numFmt numFmtId="184" formatCode="##.\ \ "/>
    <numFmt numFmtId="185" formatCode="#,##0\ &quot;FB&quot;;\-#,##0\ &quot;FB&quot;"/>
    <numFmt numFmtId="186" formatCode="mmmm\ d\,\ yyyy"/>
    <numFmt numFmtId="187" formatCode="&quot;$&quot;#,##0;[Red]&quot;$&quot;&quot;$&quot;&quot;$&quot;&quot;$&quot;&quot;$&quot;&quot;$&quot;&quot;$&quot;\-#,##0"/>
    <numFmt numFmtId="188" formatCode="#,##0.000000"/>
    <numFmt numFmtId="189" formatCode="&quot;$&quot;#,##0.00_);\(&quot;$&quot;#,##0.00\)"/>
    <numFmt numFmtId="190" formatCode="0.00000&quot;  &quot;"/>
    <numFmt numFmtId="191" formatCode="_(&quot;$&quot;* #,##0.00_);_(&quot;$&quot;* \(#,##0.00\);_(&quot;$&quot;* &quot;-&quot;??_);_(@_)"/>
    <numFmt numFmtId="192" formatCode="0.0%;\(0.0%\)"/>
    <numFmt numFmtId="193" formatCode="#.\ \ "/>
    <numFmt numFmtId="194" formatCode="&quot;$&quot;#,##0_);\(&quot;$&quot;#,##0\)"/>
    <numFmt numFmtId="195" formatCode="_ [$€-2]* #,##0.00_ ;_ [$€-2]* \-#,##0.00_ ;_ [$€-2]* &quot;-&quot;??_ "/>
    <numFmt numFmtId="196" formatCode="_(&quot;$&quot;* #,##0_);_(&quot;$&quot;* \(#,##0\);_(&quot;$&quot;* &quot;-&quot;_);_(@_)"/>
    <numFmt numFmtId="197" formatCode="#,##0;\-#,##0;&quot;-&quot;"/>
    <numFmt numFmtId="198" formatCode="0.0%"/>
    <numFmt numFmtId="199" formatCode="_-* #,##0.00\ _k_r_-;\-* #,##0.00\ _k_r_-;_-* &quot;-&quot;??\ _k_r_-;_-@_-"/>
    <numFmt numFmtId="200" formatCode="#,##0.00_);#,##0.00\)"/>
    <numFmt numFmtId="201" formatCode="#,##0.00\ &quot;FB&quot;;\-#,##0.00\ &quot;FB&quot;"/>
    <numFmt numFmtId="202" formatCode="_(* #,##0.0000_);_(* \(#,##0.0000\);_(* &quot;-&quot;??_);_(@_)"/>
    <numFmt numFmtId="203" formatCode="\$#,##0.00;\(\$#,##0.00\)"/>
    <numFmt numFmtId="204" formatCode="\$#,##0;\(\$#,##0\)"/>
    <numFmt numFmtId="205" formatCode="&quot;\&quot;#,##0;&quot;\&quot;&quot;\&quot;&quot;\&quot;&quot;\&quot;&quot;\&quot;&quot;\&quot;&quot;\&quot;&quot;\&quot;&quot;\&quot;&quot;\&quot;&quot;\&quot;&quot;\&quot;\-#,##0"/>
    <numFmt numFmtId="206" formatCode="_-* #,##0\ _k_r_-;\-* #,##0\ _k_r_-;_-* &quot;-&quot;\ _k_r_-;_-@_-"/>
    <numFmt numFmtId="207" formatCode="&quot;\&quot;#,##0;[Red]&quot;\&quot;&quot;\&quot;\-#,##0"/>
    <numFmt numFmtId="208" formatCode="&quot;\&quot;#,##0.00;&quot;\&quot;&quot;\&quot;&quot;\&quot;&quot;\&quot;&quot;\&quot;&quot;\&quot;&quot;\&quot;&quot;\&quot;\-#,##0.00"/>
    <numFmt numFmtId="209" formatCode="#,##0;\(#,##0\)"/>
    <numFmt numFmtId="210" formatCode="_-&quot;$&quot;* #,##0_-;\-&quot;$&quot;* #,##0_-;_-&quot;$&quot;* &quot;-&quot;_-;_-@_-"/>
    <numFmt numFmtId="211" formatCode="&quot;$&quot;#,##0;\-&quot;$&quot;#,##0"/>
    <numFmt numFmtId="212" formatCode="_-* #,##0.00_-;\-* #,##0.00_-;_-* &quot;-&quot;??_-;_-@_-"/>
    <numFmt numFmtId="213" formatCode="_-&quot;$&quot;* #,##0.00_-;\-&quot;$&quot;* #,##0.00_-;_-&quot;$&quot;* &quot;-&quot;??_-;_-@_-"/>
    <numFmt numFmtId="214" formatCode="&quot;\&quot;#,##0.00;[Red]&quot;\&quot;&quot;\&quot;&quot;\&quot;&quot;\&quot;&quot;\&quot;&quot;\&quot;\-#,##0.00"/>
    <numFmt numFmtId="215" formatCode="&quot;\&quot;#,##0.00;[Red]&quot;\&quot;\-#,##0.00"/>
    <numFmt numFmtId="216" formatCode="&quot;\&quot;#,##0;[Red]&quot;\&quot;\-#,##0"/>
    <numFmt numFmtId="217" formatCode="_(* #,##0.00_);_(* \(#,##0.00\);_(* &quot;-&quot;??_);_(@_)"/>
    <numFmt numFmtId="218" formatCode="&quot;$&quot;#,##0.00_);[Red]&quot;\&quot;&quot;\&quot;&quot;\&quot;&quot;\&quot;&quot;\&quot;&quot;\&quot;&quot;\&quot;&quot;\&quot;&quot;\&quot;&quot;\&quot;&quot;\&quot;&quot;\&quot;&quot;\&quot;&quot;\&quot;&quot;\&quot;&quot;\&quot;&quot;\&quot;&quot;\&quot;&quot;\&quot;&quot;\&quot;&quot;\&quot;&quot;\&quot;&quot;\&quot;\(&quot;$&quot;#,##0.00&quot;\&quot;&quot;\&quot;&quot;\&quot;&quot;\&quot;&quot;\&quot;&quot;\&quot;&quot;\&quot;&quot;\&quot;&quot;\&quot;&quot;\&quot;&quot;\&quot;&quot;\&quot;&quot;\&quot;&quot;\&quot;&quot;\&quot;&quot;\&quot;&quot;\&quot;&quot;\&quot;&quot;\&quot;&quot;\&quot;&quot;\&quot;&quot;\&quot;&quot;\&quot;\)"/>
    <numFmt numFmtId="219" formatCode="0.00_ "/>
    <numFmt numFmtId="220" formatCode="#,##0.00_);[Red]\(#,##0.00\)"/>
    <numFmt numFmtId="221" formatCode="#,##0.00_ "/>
    <numFmt numFmtId="222" formatCode="#,##0.00_);\(#,##0.00\)"/>
  </numFmts>
  <fonts count="123">
    <font>
      <sz val="12"/>
      <name val="宋体"/>
      <charset val="134"/>
    </font>
    <font>
      <sz val="10"/>
      <name val="宋体"/>
      <family val="3"/>
      <charset val="134"/>
    </font>
    <font>
      <b/>
      <sz val="10"/>
      <name val="仿宋"/>
      <family val="3"/>
      <charset val="134"/>
    </font>
    <font>
      <sz val="11"/>
      <name val="仿宋"/>
      <family val="3"/>
      <charset val="134"/>
    </font>
    <font>
      <sz val="10"/>
      <name val="仿宋"/>
      <family val="3"/>
      <charset val="134"/>
    </font>
    <font>
      <sz val="11"/>
      <name val="仿宋_GB2312"/>
      <family val="3"/>
      <charset val="134"/>
    </font>
    <font>
      <sz val="18"/>
      <name val="仿宋"/>
      <family val="3"/>
      <charset val="134"/>
    </font>
    <font>
      <sz val="12"/>
      <name val="仿宋_GB2312"/>
      <family val="3"/>
      <charset val="134"/>
    </font>
    <font>
      <sz val="12"/>
      <name val="仿宋"/>
      <family val="3"/>
      <charset val="134"/>
    </font>
    <font>
      <sz val="16"/>
      <name val="仿宋"/>
      <family val="3"/>
      <charset val="134"/>
    </font>
    <font>
      <sz val="12"/>
      <name val="Times New Roman"/>
      <family val="1"/>
    </font>
    <font>
      <sz val="10"/>
      <name val="Times New Roman"/>
      <family val="1"/>
    </font>
    <font>
      <b/>
      <sz val="11"/>
      <name val="Times New Roman"/>
      <family val="1"/>
    </font>
    <font>
      <sz val="10"/>
      <name val="Arial"/>
      <family val="2"/>
    </font>
    <font>
      <sz val="9"/>
      <name val="宋体"/>
      <family val="3"/>
      <charset val="134"/>
    </font>
    <font>
      <sz val="8"/>
      <name val="Times New Roman"/>
      <family val="1"/>
    </font>
    <font>
      <sz val="8"/>
      <name val="Arial"/>
      <family val="2"/>
    </font>
    <font>
      <b/>
      <sz val="10"/>
      <name val="Times New Roman"/>
      <family val="1"/>
    </font>
    <font>
      <sz val="11"/>
      <name val="Times New Roman"/>
      <family val="1"/>
    </font>
    <font>
      <sz val="9"/>
      <name val="Times New Roman"/>
      <family val="1"/>
    </font>
    <font>
      <sz val="14"/>
      <name val="Times New Roman"/>
      <family val="1"/>
    </font>
    <font>
      <b/>
      <sz val="18"/>
      <name val="Times New Roman"/>
      <family val="1"/>
    </font>
    <font>
      <b/>
      <sz val="14"/>
      <name val="Times New Roman"/>
      <family val="1"/>
    </font>
    <font>
      <b/>
      <sz val="14"/>
      <name val="仿宋"/>
      <family val="3"/>
      <charset val="134"/>
    </font>
    <font>
      <sz val="9"/>
      <name val="仿宋"/>
      <family val="3"/>
      <charset val="134"/>
    </font>
    <font>
      <b/>
      <sz val="20"/>
      <name val="仿宋"/>
      <family val="3"/>
      <charset val="134"/>
    </font>
    <font>
      <sz val="12"/>
      <color indexed="8"/>
      <name val="仿宋_GB2312"/>
      <family val="3"/>
      <charset val="134"/>
    </font>
    <font>
      <b/>
      <sz val="12"/>
      <name val="Times New Roman"/>
      <family val="1"/>
    </font>
    <font>
      <b/>
      <sz val="12"/>
      <name val="仿宋"/>
      <family val="3"/>
      <charset val="134"/>
    </font>
    <font>
      <sz val="11"/>
      <color indexed="8"/>
      <name val="Times New Roman"/>
      <family val="1"/>
    </font>
    <font>
      <sz val="10"/>
      <color indexed="8"/>
      <name val="Times New Roman"/>
      <family val="1"/>
    </font>
    <font>
      <sz val="8"/>
      <color indexed="10"/>
      <name val="Times New Roman"/>
      <family val="1"/>
    </font>
    <font>
      <sz val="20"/>
      <name val="Times New Roman"/>
      <family val="1"/>
    </font>
    <font>
      <sz val="12"/>
      <color indexed="8"/>
      <name val="Times New Roman"/>
      <family val="1"/>
    </font>
    <font>
      <sz val="10"/>
      <color indexed="8"/>
      <name val="Arial"/>
      <family val="2"/>
    </font>
    <font>
      <b/>
      <sz val="10"/>
      <color indexed="8"/>
      <name val="Arial"/>
      <family val="2"/>
    </font>
    <font>
      <b/>
      <sz val="10"/>
      <color indexed="39"/>
      <name val="Arial"/>
      <family val="2"/>
    </font>
    <font>
      <b/>
      <sz val="11"/>
      <name val="Helv"/>
      <family val="2"/>
    </font>
    <font>
      <sz val="11"/>
      <color indexed="17"/>
      <name val="宋体"/>
      <family val="3"/>
      <charset val="134"/>
    </font>
    <font>
      <b/>
      <sz val="8"/>
      <color indexed="8"/>
      <name val="Helv"/>
      <family val="2"/>
    </font>
    <font>
      <sz val="10"/>
      <color indexed="10"/>
      <name val="Arial"/>
      <family val="2"/>
    </font>
    <font>
      <sz val="11"/>
      <color indexed="38"/>
      <name val="宋体"/>
      <family val="3"/>
      <charset val="134"/>
    </font>
    <font>
      <sz val="11"/>
      <color indexed="9"/>
      <name val="宋体"/>
      <family val="3"/>
      <charset val="134"/>
    </font>
    <font>
      <sz val="11"/>
      <color indexed="8"/>
      <name val="宋体"/>
      <family val="3"/>
      <charset val="134"/>
    </font>
    <font>
      <sz val="19"/>
      <color indexed="48"/>
      <name val="Arial"/>
      <family val="2"/>
    </font>
    <font>
      <sz val="10"/>
      <name val="Helv"/>
      <family val="2"/>
    </font>
    <font>
      <sz val="10"/>
      <color indexed="8"/>
      <name val="MS Sans Serif"/>
      <family val="2"/>
    </font>
    <font>
      <sz val="8"/>
      <name val="Century Schoolbook"/>
      <family val="1"/>
    </font>
    <font>
      <sz val="12"/>
      <color indexed="9"/>
      <name val="宋体"/>
      <family val="3"/>
      <charset val="134"/>
    </font>
    <font>
      <sz val="10"/>
      <name val="Book Antiqua"/>
      <family val="1"/>
    </font>
    <font>
      <u/>
      <sz val="12"/>
      <color indexed="12"/>
      <name val="宋体"/>
      <family val="3"/>
      <charset val="134"/>
    </font>
    <font>
      <sz val="12"/>
      <color indexed="8"/>
      <name val="宋体"/>
      <family val="3"/>
      <charset val="134"/>
    </font>
    <font>
      <b/>
      <sz val="8"/>
      <name val="Arial"/>
      <family val="2"/>
    </font>
    <font>
      <sz val="11"/>
      <color indexed="20"/>
      <name val="宋体"/>
      <family val="3"/>
      <charset val="134"/>
    </font>
    <font>
      <sz val="11"/>
      <color indexed="26"/>
      <name val="宋体"/>
      <family val="3"/>
      <charset val="134"/>
    </font>
    <font>
      <b/>
      <sz val="10"/>
      <name val="Helv"/>
      <family val="2"/>
    </font>
    <font>
      <sz val="10"/>
      <color indexed="16"/>
      <name val="MS Serif"/>
      <family val="1"/>
    </font>
    <font>
      <sz val="12"/>
      <color indexed="9"/>
      <name val="Helv"/>
      <family val="2"/>
    </font>
    <font>
      <sz val="10"/>
      <name val="MS Serif"/>
      <family val="1"/>
    </font>
    <font>
      <sz val="10"/>
      <name val="Arial Narrow"/>
      <family val="2"/>
    </font>
    <font>
      <b/>
      <sz val="18"/>
      <color indexed="62"/>
      <name val="宋体"/>
      <family val="3"/>
      <charset val="134"/>
    </font>
    <font>
      <b/>
      <sz val="10"/>
      <name val="Book Antiqua"/>
      <family val="1"/>
    </font>
    <font>
      <b/>
      <sz val="9"/>
      <name val="Times New Roman"/>
      <family val="1"/>
    </font>
    <font>
      <b/>
      <i/>
      <sz val="10"/>
      <name val="Times New Roman"/>
      <family val="1"/>
    </font>
    <font>
      <sz val="11"/>
      <color indexed="21"/>
      <name val="宋体"/>
      <family val="3"/>
      <charset val="134"/>
    </font>
    <font>
      <sz val="10"/>
      <color indexed="39"/>
      <name val="Arial"/>
      <family val="2"/>
    </font>
    <font>
      <b/>
      <sz val="12"/>
      <color indexed="8"/>
      <name val="Arial"/>
      <family val="2"/>
    </font>
    <font>
      <sz val="8"/>
      <color indexed="16"/>
      <name val="Century Schoolbook"/>
      <family val="1"/>
    </font>
    <font>
      <b/>
      <sz val="13"/>
      <name val="Tms Rmn"/>
      <family val="1"/>
    </font>
    <font>
      <b/>
      <sz val="12"/>
      <color indexed="8"/>
      <name val="宋体"/>
      <family val="3"/>
      <charset val="134"/>
    </font>
    <font>
      <b/>
      <sz val="12"/>
      <name val="Helv"/>
      <family val="2"/>
    </font>
    <font>
      <u/>
      <sz val="8"/>
      <color indexed="12"/>
      <name val="Times New Roman"/>
      <family val="1"/>
    </font>
    <font>
      <sz val="12"/>
      <color indexed="16"/>
      <name val="宋体"/>
      <family val="3"/>
      <charset val="134"/>
    </font>
    <font>
      <b/>
      <sz val="10"/>
      <name val="MS Sans Serif"/>
      <family val="2"/>
    </font>
    <font>
      <sz val="10"/>
      <name val="Courier"/>
      <family val="3"/>
    </font>
    <font>
      <sz val="12"/>
      <name val="Helv"/>
      <family val="2"/>
    </font>
    <font>
      <b/>
      <sz val="12"/>
      <name val="Arial"/>
      <family val="2"/>
    </font>
    <font>
      <sz val="10"/>
      <name val="Tms Rmn"/>
      <family val="1"/>
    </font>
    <font>
      <sz val="12"/>
      <color indexed="17"/>
      <name val="宋体"/>
      <family val="3"/>
      <charset val="134"/>
    </font>
    <font>
      <sz val="12"/>
      <name val="柧挬"/>
      <family val="2"/>
    </font>
    <font>
      <sz val="10"/>
      <name val="奔覆眉"/>
      <family val="2"/>
    </font>
    <font>
      <sz val="12"/>
      <name val="新細明體"/>
      <family val="1"/>
      <charset val="134"/>
    </font>
    <font>
      <sz val="12"/>
      <name val="바탕체"/>
      <family val="3"/>
      <charset val="134"/>
    </font>
    <font>
      <sz val="12"/>
      <name val="宋体"/>
      <family val="3"/>
      <charset val="134"/>
    </font>
    <font>
      <sz val="14"/>
      <name val="仿宋"/>
      <family val="3"/>
      <charset val="134"/>
    </font>
    <font>
      <b/>
      <sz val="24"/>
      <name val="仿宋"/>
      <family val="3"/>
      <charset val="134"/>
    </font>
    <font>
      <sz val="14"/>
      <name val="仿宋_GB2312"/>
      <family val="3"/>
      <charset val="134"/>
    </font>
    <font>
      <b/>
      <sz val="18"/>
      <name val="仿宋"/>
      <family val="3"/>
      <charset val="134"/>
    </font>
    <font>
      <b/>
      <sz val="14"/>
      <name val="宋体"/>
      <family val="3"/>
      <charset val="134"/>
    </font>
    <font>
      <b/>
      <sz val="14"/>
      <color indexed="8"/>
      <name val="宋体"/>
      <family val="3"/>
      <charset val="134"/>
    </font>
    <font>
      <b/>
      <sz val="14"/>
      <color indexed="8"/>
      <name val="Times New Roman"/>
      <family val="1"/>
    </font>
    <font>
      <sz val="12"/>
      <color indexed="8"/>
      <name val="仿宋"/>
      <family val="3"/>
      <charset val="134"/>
    </font>
    <font>
      <sz val="11"/>
      <color indexed="8"/>
      <name val="仿宋"/>
      <family val="3"/>
      <charset val="134"/>
    </font>
    <font>
      <b/>
      <sz val="20"/>
      <name val="Times New Roman"/>
      <family val="1"/>
    </font>
    <font>
      <sz val="22"/>
      <name val="Times New Roman"/>
      <family val="1"/>
    </font>
    <font>
      <b/>
      <sz val="16"/>
      <name val="仿宋"/>
      <family val="3"/>
      <charset val="134"/>
    </font>
    <font>
      <sz val="16"/>
      <name val="Times New Roman"/>
      <family val="1"/>
    </font>
    <font>
      <sz val="14"/>
      <name val="宋体"/>
      <family val="3"/>
      <charset val="134"/>
    </font>
    <font>
      <b/>
      <sz val="11"/>
      <color indexed="8"/>
      <name val="Times New Roman"/>
      <family val="1"/>
    </font>
    <font>
      <sz val="14"/>
      <name val="宋体"/>
      <family val="3"/>
      <charset val="134"/>
    </font>
    <font>
      <sz val="9"/>
      <name val="宋体"/>
      <family val="3"/>
      <charset val="134"/>
    </font>
    <font>
      <sz val="9"/>
      <name val="宋体"/>
      <family val="3"/>
      <charset val="134"/>
    </font>
    <font>
      <sz val="12"/>
      <color indexed="10"/>
      <name val="仿宋_GB2312"/>
      <family val="3"/>
      <charset val="134"/>
    </font>
    <font>
      <b/>
      <sz val="12"/>
      <color indexed="10"/>
      <name val="宋体"/>
      <family val="3"/>
      <charset val="134"/>
    </font>
    <font>
      <b/>
      <sz val="12"/>
      <color indexed="8"/>
      <name val="Times New Roman"/>
      <family val="1"/>
    </font>
    <font>
      <b/>
      <sz val="12"/>
      <name val="宋体"/>
      <family val="3"/>
      <charset val="134"/>
    </font>
    <font>
      <b/>
      <sz val="22"/>
      <name val="Times New Roman"/>
      <family val="1"/>
    </font>
    <font>
      <sz val="12"/>
      <color rgb="FFFF0000"/>
      <name val="宋体"/>
      <family val="3"/>
      <charset val="134"/>
    </font>
    <font>
      <sz val="12"/>
      <color theme="1"/>
      <name val="Times New Roman"/>
      <family val="1"/>
    </font>
    <font>
      <b/>
      <sz val="12"/>
      <color theme="1" tint="4.9989318521683403E-2"/>
      <name val="仿宋"/>
      <family val="3"/>
      <charset val="134"/>
    </font>
    <font>
      <b/>
      <sz val="12"/>
      <color theme="1" tint="4.9989318521683403E-2"/>
      <name val="Times New Roman"/>
      <family val="1"/>
    </font>
    <font>
      <sz val="18"/>
      <color rgb="FFFF0000"/>
      <name val="Times New Roman"/>
      <family val="1"/>
    </font>
    <font>
      <sz val="11"/>
      <color rgb="FFFF0000"/>
      <name val="仿宋"/>
      <family val="3"/>
      <charset val="134"/>
    </font>
    <font>
      <b/>
      <sz val="16"/>
      <color theme="1" tint="4.9989318521683403E-2"/>
      <name val="仿宋"/>
      <family val="3"/>
      <charset val="134"/>
    </font>
    <font>
      <b/>
      <sz val="14"/>
      <color theme="1" tint="4.9989318521683403E-2"/>
      <name val="Times New Roman"/>
      <family val="1"/>
    </font>
    <font>
      <b/>
      <sz val="14"/>
      <color theme="1"/>
      <name val="Times New Roman"/>
      <family val="1"/>
    </font>
    <font>
      <sz val="14"/>
      <color rgb="FFFF0000"/>
      <name val="Times New Roman"/>
      <family val="1"/>
    </font>
    <font>
      <sz val="14"/>
      <color rgb="FFFF0000"/>
      <name val="仿宋"/>
      <family val="3"/>
      <charset val="134"/>
    </font>
    <font>
      <b/>
      <sz val="12"/>
      <color theme="1" tint="4.9989318521683403E-2"/>
      <name val="仿宋_GB2312"/>
      <family val="3"/>
      <charset val="134"/>
    </font>
    <font>
      <sz val="12"/>
      <color rgb="FFFF0000"/>
      <name val="Times New Roman"/>
      <family val="1"/>
    </font>
    <font>
      <sz val="11"/>
      <color rgb="FFFF0000"/>
      <name val="Times New Roman"/>
      <family val="1"/>
    </font>
    <font>
      <b/>
      <sz val="12"/>
      <color theme="1"/>
      <name val="Times New Roman"/>
      <family val="1"/>
    </font>
    <font>
      <sz val="10"/>
      <color rgb="FFFF0000"/>
      <name val="仿宋"/>
      <family val="3"/>
      <charset val="134"/>
    </font>
  </fonts>
  <fills count="43">
    <fill>
      <patternFill patternType="none"/>
    </fill>
    <fill>
      <patternFill patternType="gray125"/>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49"/>
        <bgColor indexed="64"/>
      </patternFill>
    </fill>
    <fill>
      <patternFill patternType="solid">
        <fgColor indexed="52"/>
        <bgColor indexed="64"/>
      </patternFill>
    </fill>
    <fill>
      <patternFill patternType="solid">
        <fgColor indexed="65"/>
        <bgColor indexed="64"/>
      </patternFill>
    </fill>
    <fill>
      <patternFill patternType="gray0625">
        <fgColor indexed="10"/>
      </patternFill>
    </fill>
    <fill>
      <patternFill patternType="solid">
        <fgColor indexed="54"/>
        <bgColor indexed="64"/>
      </patternFill>
    </fill>
    <fill>
      <patternFill patternType="solid">
        <fgColor indexed="25"/>
        <bgColor indexed="64"/>
      </patternFill>
    </fill>
    <fill>
      <patternFill patternType="solid">
        <fgColor indexed="26"/>
        <bgColor indexed="64"/>
      </patternFill>
    </fill>
    <fill>
      <patternFill patternType="solid">
        <fgColor indexed="22"/>
        <bgColor indexed="64"/>
      </patternFill>
    </fill>
    <fill>
      <patternFill patternType="solid">
        <fgColor indexed="55"/>
        <bgColor indexed="64"/>
      </patternFill>
    </fill>
    <fill>
      <patternFill patternType="solid">
        <fgColor indexed="13"/>
        <bgColor indexed="64"/>
      </patternFill>
    </fill>
    <fill>
      <patternFill patternType="solid">
        <fgColor indexed="15"/>
        <bgColor indexed="64"/>
      </patternFill>
    </fill>
    <fill>
      <patternFill patternType="solid">
        <fgColor indexed="12"/>
        <bgColor indexed="64"/>
      </patternFill>
    </fill>
    <fill>
      <patternFill patternType="solid">
        <fgColor indexed="43"/>
        <bgColor indexed="64"/>
      </patternFill>
    </fill>
    <fill>
      <patternFill patternType="solid">
        <fgColor indexed="40"/>
        <bgColor indexed="64"/>
      </patternFill>
    </fill>
    <fill>
      <patternFill patternType="solid">
        <fgColor indexed="10"/>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lightUp">
        <fgColor indexed="48"/>
        <bgColor indexed="41"/>
      </patternFill>
    </fill>
    <fill>
      <patternFill patternType="solid">
        <fgColor indexed="41"/>
        <bgColor indexed="64"/>
      </patternFill>
    </fill>
    <fill>
      <patternFill patternType="solid">
        <fgColor indexed="56"/>
        <bgColor indexed="64"/>
      </patternFill>
    </fill>
    <fill>
      <patternFill patternType="solid">
        <fgColor indexed="18"/>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9"/>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0"/>
        <bgColor indexed="64"/>
      </patternFill>
    </fill>
    <fill>
      <patternFill patternType="solid">
        <fgColor rgb="FFFFC0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hair">
        <color indexed="64"/>
      </left>
      <right style="hair">
        <color indexed="64"/>
      </right>
      <top style="hair">
        <color indexed="64"/>
      </top>
      <bottom style="hair">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style="thin">
        <color indexed="64"/>
      </right>
      <top style="thin">
        <color indexed="64"/>
      </top>
      <bottom style="thin">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style="medium">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right/>
      <top style="medium">
        <color indexed="64"/>
      </top>
      <bottom/>
      <diagonal/>
    </border>
    <border>
      <left style="hair">
        <color indexed="64"/>
      </left>
      <right/>
      <top style="medium">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medium">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style="hair">
        <color indexed="64"/>
      </right>
      <top/>
      <bottom style="hair">
        <color indexed="64"/>
      </bottom>
      <diagonal/>
    </border>
    <border>
      <left style="hair">
        <color indexed="64"/>
      </left>
      <right/>
      <top style="hair">
        <color indexed="64"/>
      </top>
      <bottom style="medium">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right/>
      <top style="medium">
        <color indexed="64"/>
      </top>
      <bottom style="hair">
        <color indexed="64"/>
      </bottom>
      <diagonal/>
    </border>
    <border>
      <left/>
      <right/>
      <top style="hair">
        <color indexed="64"/>
      </top>
      <bottom style="medium">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bottom/>
      <diagonal/>
    </border>
    <border>
      <left/>
      <right style="thin">
        <color indexed="64"/>
      </right>
      <top/>
      <bottom/>
      <diagonal/>
    </border>
  </borders>
  <cellStyleXfs count="554">
    <xf numFmtId="0" fontId="0" fillId="0" borderId="0">
      <alignment vertical="center"/>
    </xf>
    <xf numFmtId="0" fontId="13" fillId="0" borderId="0">
      <alignment vertical="center"/>
    </xf>
    <xf numFmtId="0" fontId="13" fillId="0" borderId="0"/>
    <xf numFmtId="176" fontId="83" fillId="0" borderId="0" applyFont="0" applyFill="0" applyBorder="0" applyAlignment="0" applyProtection="0">
      <alignment vertical="center"/>
    </xf>
    <xf numFmtId="176" fontId="83" fillId="0" borderId="0" applyFont="0" applyFill="0" applyBorder="0" applyAlignment="0" applyProtection="0"/>
    <xf numFmtId="0" fontId="43" fillId="0" borderId="0">
      <alignment vertical="center"/>
    </xf>
    <xf numFmtId="198" fontId="83" fillId="0" borderId="0" applyFont="0" applyFill="0" applyBorder="0" applyAlignment="0" applyProtection="0">
      <alignment vertical="center"/>
    </xf>
    <xf numFmtId="198" fontId="83" fillId="0" borderId="0" applyFont="0" applyFill="0" applyBorder="0" applyAlignment="0" applyProtection="0"/>
    <xf numFmtId="10" fontId="83" fillId="0" borderId="0" applyFont="0" applyFill="0" applyBorder="0" applyAlignment="0" applyProtection="0">
      <alignment vertical="center"/>
    </xf>
    <xf numFmtId="10" fontId="83" fillId="0" borderId="0" applyFont="0" applyFill="0" applyBorder="0" applyAlignment="0" applyProtection="0"/>
    <xf numFmtId="179" fontId="83" fillId="0" borderId="0" applyFont="0" applyFill="0" applyBorder="0" applyAlignment="0" applyProtection="0">
      <alignment vertical="center"/>
    </xf>
    <xf numFmtId="179" fontId="83" fillId="0" borderId="0" applyFont="0" applyFill="0" applyBorder="0" applyAlignment="0" applyProtection="0"/>
    <xf numFmtId="0" fontId="49" fillId="0" borderId="1">
      <alignment horizontal="center"/>
    </xf>
    <xf numFmtId="0" fontId="61" fillId="0" borderId="0"/>
    <xf numFmtId="0" fontId="61" fillId="0" borderId="2" applyFill="0">
      <alignment horizontal="center"/>
      <protection locked="0"/>
    </xf>
    <xf numFmtId="0" fontId="49" fillId="0" borderId="0" applyFill="0">
      <alignment horizontal="center"/>
      <protection locked="0"/>
    </xf>
    <xf numFmtId="0" fontId="49" fillId="13" borderId="0"/>
    <xf numFmtId="0" fontId="49" fillId="0" borderId="0">
      <protection locked="0"/>
    </xf>
    <xf numFmtId="0" fontId="49" fillId="0" borderId="0"/>
    <xf numFmtId="193" fontId="49" fillId="0" borderId="0"/>
    <xf numFmtId="184" fontId="49" fillId="0" borderId="0"/>
    <xf numFmtId="0" fontId="61" fillId="14" borderId="0">
      <alignment horizontal="right"/>
    </xf>
    <xf numFmtId="0" fontId="49" fillId="0" borderId="0"/>
    <xf numFmtId="0" fontId="48" fillId="15" borderId="0" applyNumberFormat="0" applyBorder="0" applyAlignment="0" applyProtection="0">
      <alignment vertical="center"/>
    </xf>
    <xf numFmtId="0" fontId="51" fillId="2" borderId="0" applyNumberFormat="0" applyBorder="0" applyAlignment="0" applyProtection="0">
      <alignment vertical="center"/>
    </xf>
    <xf numFmtId="0" fontId="51" fillId="2" borderId="0" applyNumberFormat="0" applyBorder="0" applyAlignment="0" applyProtection="0"/>
    <xf numFmtId="0" fontId="51" fillId="2" borderId="0" applyNumberFormat="0" applyBorder="0" applyAlignment="0" applyProtection="0">
      <alignment vertical="center"/>
    </xf>
    <xf numFmtId="0" fontId="51" fillId="2" borderId="0" applyNumberFormat="0" applyBorder="0" applyAlignment="0" applyProtection="0"/>
    <xf numFmtId="0" fontId="48" fillId="7" borderId="0" applyNumberFormat="0" applyBorder="0" applyAlignment="0" applyProtection="0">
      <alignment vertical="center"/>
    </xf>
    <xf numFmtId="0" fontId="48" fillId="7" borderId="0" applyNumberFormat="0" applyBorder="0" applyAlignment="0" applyProtection="0"/>
    <xf numFmtId="0" fontId="48" fillId="15" borderId="0" applyNumberFormat="0" applyBorder="0" applyAlignment="0" applyProtection="0"/>
    <xf numFmtId="0" fontId="48" fillId="16"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xf numFmtId="0" fontId="51" fillId="18" borderId="0" applyNumberFormat="0" applyBorder="0" applyAlignment="0" applyProtection="0">
      <alignment vertical="center"/>
    </xf>
    <xf numFmtId="0" fontId="51" fillId="18" borderId="0" applyNumberFormat="0" applyBorder="0" applyAlignment="0" applyProtection="0"/>
    <xf numFmtId="0" fontId="48" fillId="19" borderId="0" applyNumberFormat="0" applyBorder="0" applyAlignment="0" applyProtection="0">
      <alignment vertical="center"/>
    </xf>
    <xf numFmtId="0" fontId="48" fillId="19" borderId="0" applyNumberFormat="0" applyBorder="0" applyAlignment="0" applyProtection="0"/>
    <xf numFmtId="0" fontId="48" fillId="16" borderId="0" applyNumberFormat="0" applyBorder="0" applyAlignment="0" applyProtection="0"/>
    <xf numFmtId="0" fontId="48" fillId="19"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xf numFmtId="0" fontId="51" fillId="4" borderId="0" applyNumberFormat="0" applyBorder="0" applyAlignment="0" applyProtection="0">
      <alignment vertical="center"/>
    </xf>
    <xf numFmtId="0" fontId="51" fillId="4" borderId="0" applyNumberFormat="0" applyBorder="0" applyAlignment="0" applyProtection="0"/>
    <xf numFmtId="0" fontId="48" fillId="18" borderId="0" applyNumberFormat="0" applyBorder="0" applyAlignment="0" applyProtection="0">
      <alignment vertical="center"/>
    </xf>
    <xf numFmtId="0" fontId="48" fillId="18" borderId="0" applyNumberFormat="0" applyBorder="0" applyAlignment="0" applyProtection="0"/>
    <xf numFmtId="0" fontId="48" fillId="19" borderId="0" applyNumberFormat="0" applyBorder="0" applyAlignment="0" applyProtection="0"/>
    <xf numFmtId="0" fontId="48" fillId="15" borderId="0" applyNumberFormat="0" applyBorder="0" applyAlignment="0" applyProtection="0">
      <alignment vertical="center"/>
    </xf>
    <xf numFmtId="0" fontId="51" fillId="2" borderId="0" applyNumberFormat="0" applyBorder="0" applyAlignment="0" applyProtection="0">
      <alignment vertical="center"/>
    </xf>
    <xf numFmtId="0" fontId="51" fillId="2" borderId="0" applyNumberFormat="0" applyBorder="0" applyAlignment="0" applyProtection="0"/>
    <xf numFmtId="0" fontId="51" fillId="18" borderId="0" applyNumberFormat="0" applyBorder="0" applyAlignment="0" applyProtection="0">
      <alignment vertical="center"/>
    </xf>
    <xf numFmtId="0" fontId="51" fillId="18" borderId="0" applyNumberFormat="0" applyBorder="0" applyAlignment="0" applyProtection="0"/>
    <xf numFmtId="0" fontId="48" fillId="18" borderId="0" applyNumberFormat="0" applyBorder="0" applyAlignment="0" applyProtection="0">
      <alignment vertical="center"/>
    </xf>
    <xf numFmtId="0" fontId="48" fillId="18" borderId="0" applyNumberFormat="0" applyBorder="0" applyAlignment="0" applyProtection="0"/>
    <xf numFmtId="0" fontId="48" fillId="15" borderId="0" applyNumberFormat="0" applyBorder="0" applyAlignment="0" applyProtection="0"/>
    <xf numFmtId="0" fontId="48" fillId="11" borderId="0" applyNumberFormat="0" applyBorder="0" applyAlignment="0" applyProtection="0">
      <alignment vertical="center"/>
    </xf>
    <xf numFmtId="0" fontId="51" fillId="5" borderId="0" applyNumberFormat="0" applyBorder="0" applyAlignment="0" applyProtection="0">
      <alignment vertical="center"/>
    </xf>
    <xf numFmtId="0" fontId="51" fillId="5" borderId="0" applyNumberFormat="0" applyBorder="0" applyAlignment="0" applyProtection="0"/>
    <xf numFmtId="0" fontId="51" fillId="2" borderId="0" applyNumberFormat="0" applyBorder="0" applyAlignment="0" applyProtection="0">
      <alignment vertical="center"/>
    </xf>
    <xf numFmtId="0" fontId="51" fillId="2" borderId="0" applyNumberFormat="0" applyBorder="0" applyAlignment="0" applyProtection="0"/>
    <xf numFmtId="0" fontId="48" fillId="7" borderId="0" applyNumberFormat="0" applyBorder="0" applyAlignment="0" applyProtection="0">
      <alignment vertical="center"/>
    </xf>
    <xf numFmtId="0" fontId="48" fillId="7" borderId="0" applyNumberFormat="0" applyBorder="0" applyAlignment="0" applyProtection="0"/>
    <xf numFmtId="0" fontId="48" fillId="11" borderId="0" applyNumberFormat="0" applyBorder="0" applyAlignment="0" applyProtection="0"/>
    <xf numFmtId="0" fontId="48" fillId="12" borderId="0" applyNumberFormat="0" applyBorder="0" applyAlignment="0" applyProtection="0">
      <alignment vertical="center"/>
    </xf>
    <xf numFmtId="0" fontId="51" fillId="17" borderId="0" applyNumberFormat="0" applyBorder="0" applyAlignment="0" applyProtection="0">
      <alignment vertical="center"/>
    </xf>
    <xf numFmtId="0" fontId="51" fillId="17" borderId="0" applyNumberFormat="0" applyBorder="0" applyAlignment="0" applyProtection="0"/>
    <xf numFmtId="0" fontId="51" fillId="6" borderId="0" applyNumberFormat="0" applyBorder="0" applyAlignment="0" applyProtection="0">
      <alignment vertical="center"/>
    </xf>
    <xf numFmtId="0" fontId="51" fillId="6" borderId="0" applyNumberFormat="0" applyBorder="0" applyAlignment="0" applyProtection="0"/>
    <xf numFmtId="0" fontId="48" fillId="6" borderId="0" applyNumberFormat="0" applyBorder="0" applyAlignment="0" applyProtection="0">
      <alignment vertical="center"/>
    </xf>
    <xf numFmtId="0" fontId="48" fillId="6" borderId="0" applyNumberFormat="0" applyBorder="0" applyAlignment="0" applyProtection="0"/>
    <xf numFmtId="0" fontId="48" fillId="12" borderId="0" applyNumberFormat="0" applyBorder="0" applyAlignment="0" applyProtection="0"/>
    <xf numFmtId="0" fontId="15" fillId="0" borderId="0">
      <alignment horizontal="center" wrapText="1"/>
      <protection locked="0"/>
    </xf>
    <xf numFmtId="197" fontId="34" fillId="0" borderId="0" applyFill="0" applyBorder="0" applyAlignment="0">
      <alignment vertical="center"/>
    </xf>
    <xf numFmtId="197" fontId="34" fillId="0" borderId="0" applyFill="0" applyBorder="0" applyAlignment="0"/>
    <xf numFmtId="183" fontId="45" fillId="0" borderId="0" applyFill="0" applyBorder="0" applyAlignment="0"/>
    <xf numFmtId="202" fontId="45" fillId="0" borderId="0" applyFill="0" applyBorder="0" applyAlignment="0"/>
    <xf numFmtId="186" fontId="13" fillId="0" borderId="0" applyFill="0" applyBorder="0" applyAlignment="0"/>
    <xf numFmtId="185" fontId="13" fillId="0" borderId="0" applyFill="0" applyBorder="0" applyAlignment="0"/>
    <xf numFmtId="191" fontId="45" fillId="0" borderId="0" applyFill="0" applyBorder="0" applyAlignment="0"/>
    <xf numFmtId="192" fontId="45" fillId="0" borderId="0" applyFill="0" applyBorder="0" applyAlignment="0"/>
    <xf numFmtId="183" fontId="45" fillId="0" borderId="0" applyFill="0" applyBorder="0" applyAlignment="0"/>
    <xf numFmtId="0" fontId="55" fillId="0" borderId="0">
      <alignment vertical="center"/>
    </xf>
    <xf numFmtId="0" fontId="55" fillId="0" borderId="0"/>
    <xf numFmtId="0" fontId="68" fillId="0" borderId="3" applyNumberFormat="0" applyFill="0" applyProtection="0">
      <alignment horizontal="center" vertical="center"/>
    </xf>
    <xf numFmtId="0" fontId="68" fillId="0" borderId="3" applyNumberFormat="0" applyFill="0" applyProtection="0">
      <alignment horizontal="center"/>
    </xf>
    <xf numFmtId="0" fontId="52" fillId="0" borderId="4">
      <alignment horizontal="center"/>
    </xf>
    <xf numFmtId="187" fontId="13" fillId="0" borderId="0">
      <alignment vertical="center"/>
    </xf>
    <xf numFmtId="187" fontId="13" fillId="0" borderId="0"/>
    <xf numFmtId="187" fontId="13" fillId="0" borderId="0">
      <alignment vertical="center"/>
    </xf>
    <xf numFmtId="187" fontId="13" fillId="0" borderId="0"/>
    <xf numFmtId="187" fontId="13" fillId="0" borderId="0">
      <alignment vertical="center"/>
    </xf>
    <xf numFmtId="187" fontId="13" fillId="0" borderId="0"/>
    <xf numFmtId="187" fontId="13" fillId="0" borderId="0">
      <alignment vertical="center"/>
    </xf>
    <xf numFmtId="187" fontId="13" fillId="0" borderId="0"/>
    <xf numFmtId="187" fontId="13" fillId="0" borderId="0">
      <alignment vertical="center"/>
    </xf>
    <xf numFmtId="187" fontId="13" fillId="0" borderId="0"/>
    <xf numFmtId="187" fontId="13" fillId="0" borderId="0">
      <alignment vertical="center"/>
    </xf>
    <xf numFmtId="187" fontId="13" fillId="0" borderId="0"/>
    <xf numFmtId="187" fontId="13" fillId="0" borderId="0">
      <alignment vertical="center"/>
    </xf>
    <xf numFmtId="187" fontId="13" fillId="0" borderId="0"/>
    <xf numFmtId="187" fontId="13" fillId="0" borderId="0">
      <alignment vertical="center"/>
    </xf>
    <xf numFmtId="187" fontId="13" fillId="0" borderId="0"/>
    <xf numFmtId="196" fontId="83" fillId="0" borderId="0" applyFont="0" applyFill="0" applyBorder="0" applyAlignment="0" applyProtection="0"/>
    <xf numFmtId="191" fontId="83" fillId="0" borderId="0" applyFont="0" applyFill="0" applyBorder="0" applyAlignment="0" applyProtection="0"/>
    <xf numFmtId="209" fontId="11" fillId="0" borderId="0">
      <alignment vertical="center"/>
    </xf>
    <xf numFmtId="209" fontId="11" fillId="0" borderId="0"/>
    <xf numFmtId="37" fontId="83" fillId="0" borderId="0" applyFont="0" applyFill="0" applyBorder="0" applyAlignment="0" applyProtection="0">
      <alignment vertical="center"/>
    </xf>
    <xf numFmtId="37" fontId="83" fillId="0" borderId="0" applyFont="0" applyFill="0" applyBorder="0" applyAlignment="0" applyProtection="0"/>
    <xf numFmtId="183" fontId="83" fillId="0" borderId="0" applyFont="0" applyFill="0" applyBorder="0" applyAlignment="0" applyProtection="0">
      <alignment vertical="center"/>
    </xf>
    <xf numFmtId="183" fontId="83" fillId="0" borderId="0" applyFont="0" applyFill="0" applyBorder="0" applyAlignment="0" applyProtection="0"/>
    <xf numFmtId="39" fontId="83" fillId="0" borderId="0" applyFont="0" applyFill="0" applyBorder="0" applyAlignment="0" applyProtection="0">
      <alignment vertical="center"/>
    </xf>
    <xf numFmtId="39" fontId="83" fillId="0" borderId="0" applyFont="0" applyFill="0" applyBorder="0" applyAlignment="0" applyProtection="0"/>
    <xf numFmtId="0" fontId="83" fillId="0" borderId="0" applyFont="0" applyFill="0" applyBorder="0" applyAlignment="0" applyProtection="0">
      <alignment vertical="center"/>
    </xf>
    <xf numFmtId="0" fontId="58" fillId="0" borderId="0" applyNumberFormat="0" applyAlignment="0">
      <alignment horizontal="left"/>
    </xf>
    <xf numFmtId="0" fontId="74" fillId="0" borderId="0" applyNumberFormat="0" applyAlignment="0"/>
    <xf numFmtId="196" fontId="83" fillId="0" borderId="0" applyFont="0" applyFill="0" applyBorder="0" applyAlignment="0" applyProtection="0"/>
    <xf numFmtId="183" fontId="83" fillId="0" borderId="0" applyFont="0" applyFill="0" applyBorder="0" applyAlignment="0" applyProtection="0"/>
    <xf numFmtId="194" fontId="83" fillId="0" borderId="0" applyFont="0" applyFill="0" applyBorder="0" applyAlignment="0" applyProtection="0">
      <alignment vertical="center"/>
    </xf>
    <xf numFmtId="194" fontId="83" fillId="0" borderId="0" applyFont="0" applyFill="0" applyBorder="0" applyAlignment="0" applyProtection="0"/>
    <xf numFmtId="189" fontId="83" fillId="0" borderId="0" applyFont="0" applyFill="0" applyBorder="0" applyAlignment="0" applyProtection="0">
      <alignment vertical="center"/>
    </xf>
    <xf numFmtId="189" fontId="83" fillId="0" borderId="0" applyFont="0" applyFill="0" applyBorder="0" applyAlignment="0" applyProtection="0"/>
    <xf numFmtId="208" fontId="83" fillId="0" borderId="0" applyFont="0" applyFill="0" applyBorder="0" applyAlignment="0" applyProtection="0">
      <alignment vertical="center"/>
    </xf>
    <xf numFmtId="203" fontId="11" fillId="0" borderId="0">
      <alignment vertical="center"/>
    </xf>
    <xf numFmtId="203" fontId="11" fillId="0" borderId="0"/>
    <xf numFmtId="188" fontId="13" fillId="0" borderId="0">
      <protection locked="0"/>
    </xf>
    <xf numFmtId="14" fontId="34" fillId="0" borderId="0" applyFill="0" applyBorder="0" applyAlignment="0"/>
    <xf numFmtId="0" fontId="83" fillId="0" borderId="0" applyFont="0" applyFill="0" applyBorder="0" applyAlignment="0" applyProtection="0"/>
    <xf numFmtId="41" fontId="83" fillId="0" borderId="0" applyFont="0" applyFill="0" applyBorder="0" applyAlignment="0" applyProtection="0"/>
    <xf numFmtId="43" fontId="83" fillId="0" borderId="0" applyFont="0" applyFill="0" applyBorder="0" applyAlignment="0" applyProtection="0"/>
    <xf numFmtId="204" fontId="11" fillId="0" borderId="0">
      <alignment vertical="center"/>
    </xf>
    <xf numFmtId="204" fontId="11" fillId="0" borderId="0"/>
    <xf numFmtId="191" fontId="45" fillId="0" borderId="0" applyFill="0" applyBorder="0" applyAlignment="0"/>
    <xf numFmtId="183" fontId="45" fillId="0" borderId="0" applyFill="0" applyBorder="0" applyAlignment="0"/>
    <xf numFmtId="191" fontId="45" fillId="0" borderId="0" applyFill="0" applyBorder="0" applyAlignment="0"/>
    <xf numFmtId="192" fontId="45" fillId="0" borderId="0" applyFill="0" applyBorder="0" applyAlignment="0"/>
    <xf numFmtId="183" fontId="45" fillId="0" borderId="0" applyFill="0" applyBorder="0" applyAlignment="0"/>
    <xf numFmtId="0" fontId="56" fillId="0" borderId="0" applyNumberFormat="0" applyAlignment="0">
      <alignment horizontal="left"/>
    </xf>
    <xf numFmtId="0" fontId="19" fillId="0" borderId="0">
      <alignment horizontal="left" vertical="center"/>
    </xf>
    <xf numFmtId="0" fontId="19" fillId="0" borderId="0">
      <alignment horizontal="left"/>
    </xf>
    <xf numFmtId="0" fontId="16" fillId="20" borderId="1">
      <alignment vertical="center"/>
    </xf>
    <xf numFmtId="0" fontId="16" fillId="20" borderId="1"/>
    <xf numFmtId="195" fontId="83" fillId="0" borderId="0" applyFont="0" applyFill="0" applyBorder="0" applyAlignment="0" applyProtection="0">
      <alignment vertical="center"/>
    </xf>
    <xf numFmtId="195" fontId="83" fillId="0" borderId="0" applyFont="0" applyFill="0" applyBorder="0" applyAlignment="0" applyProtection="0"/>
    <xf numFmtId="188" fontId="13" fillId="0" borderId="0">
      <protection locked="0"/>
    </xf>
    <xf numFmtId="188" fontId="13" fillId="0" borderId="0">
      <protection locked="0"/>
    </xf>
    <xf numFmtId="188" fontId="13" fillId="0" borderId="0">
      <protection locked="0"/>
    </xf>
    <xf numFmtId="188" fontId="13" fillId="0" borderId="0">
      <protection locked="0"/>
    </xf>
    <xf numFmtId="188" fontId="13" fillId="0" borderId="0">
      <protection locked="0"/>
    </xf>
    <xf numFmtId="188" fontId="13" fillId="0" borderId="0">
      <protection locked="0"/>
    </xf>
    <xf numFmtId="188" fontId="13" fillId="0" borderId="0">
      <protection locked="0"/>
    </xf>
    <xf numFmtId="188" fontId="13" fillId="0" borderId="0">
      <protection locked="0"/>
    </xf>
    <xf numFmtId="0" fontId="16" fillId="18" borderId="0" applyNumberFormat="0" applyBorder="0" applyAlignment="0" applyProtection="0">
      <alignment vertical="center"/>
    </xf>
    <xf numFmtId="0" fontId="16" fillId="18" borderId="0" applyNumberFormat="0" applyBorder="0" applyAlignment="0" applyProtection="0"/>
    <xf numFmtId="0" fontId="70" fillId="0" borderId="0">
      <alignment horizontal="left" vertical="center"/>
    </xf>
    <xf numFmtId="0" fontId="70" fillId="0" borderId="0">
      <alignment horizontal="left"/>
    </xf>
    <xf numFmtId="0" fontId="76" fillId="0" borderId="5" applyNumberFormat="0" applyAlignment="0" applyProtection="0">
      <alignment horizontal="left" vertical="center"/>
    </xf>
    <xf numFmtId="0" fontId="76" fillId="0" borderId="6">
      <alignment horizontal="left" vertical="center"/>
    </xf>
    <xf numFmtId="188" fontId="13" fillId="0" borderId="0">
      <protection locked="0"/>
    </xf>
    <xf numFmtId="188" fontId="13" fillId="0" borderId="0">
      <protection locked="0"/>
    </xf>
    <xf numFmtId="0" fontId="71" fillId="0" borderId="0" applyNumberFormat="0" applyFill="0" applyBorder="0" applyAlignment="0" applyProtection="0">
      <alignment vertical="top"/>
      <protection locked="0"/>
    </xf>
    <xf numFmtId="0" fontId="16" fillId="17" borderId="1" applyNumberFormat="0" applyBorder="0" applyAlignment="0" applyProtection="0">
      <alignment vertical="center"/>
    </xf>
    <xf numFmtId="0" fontId="16" fillId="17" borderId="1" applyNumberFormat="0" applyBorder="0" applyAlignment="0" applyProtection="0"/>
    <xf numFmtId="183" fontId="75" fillId="21" borderId="0"/>
    <xf numFmtId="191" fontId="45" fillId="0" borderId="0" applyFill="0" applyBorder="0" applyAlignment="0"/>
    <xf numFmtId="183" fontId="45" fillId="0" borderId="0" applyFill="0" applyBorder="0" applyAlignment="0"/>
    <xf numFmtId="191" fontId="45" fillId="0" borderId="0" applyFill="0" applyBorder="0" applyAlignment="0"/>
    <xf numFmtId="192" fontId="45" fillId="0" borderId="0" applyFill="0" applyBorder="0" applyAlignment="0"/>
    <xf numFmtId="183" fontId="45" fillId="0" borderId="0" applyFill="0" applyBorder="0" applyAlignment="0"/>
    <xf numFmtId="183" fontId="57" fillId="22" borderId="0"/>
    <xf numFmtId="0" fontId="83" fillId="0" borderId="0" applyFont="0" applyFill="0" applyBorder="0" applyAlignment="0" applyProtection="0"/>
    <xf numFmtId="0" fontId="83" fillId="0" borderId="0" applyFont="0" applyFill="0" applyBorder="0" applyAlignment="0" applyProtection="0"/>
    <xf numFmtId="0" fontId="37" fillId="0" borderId="2">
      <alignment vertical="center"/>
    </xf>
    <xf numFmtId="0" fontId="37" fillId="0" borderId="2"/>
    <xf numFmtId="0" fontId="83" fillId="0" borderId="0" applyFont="0" applyFill="0" applyBorder="0" applyAlignment="0" applyProtection="0"/>
    <xf numFmtId="0" fontId="83" fillId="0" borderId="0" applyFont="0" applyFill="0" applyBorder="0" applyAlignment="0" applyProtection="0"/>
    <xf numFmtId="205" fontId="13" fillId="0" borderId="0">
      <alignment vertical="center"/>
    </xf>
    <xf numFmtId="198" fontId="83" fillId="0" borderId="0"/>
    <xf numFmtId="0" fontId="13" fillId="0" borderId="0">
      <alignment vertical="center"/>
    </xf>
    <xf numFmtId="0" fontId="46" fillId="0" borderId="0">
      <alignment vertical="center"/>
    </xf>
    <xf numFmtId="180" fontId="83" fillId="0" borderId="0" applyFont="0" applyFill="0" applyBorder="0" applyAlignment="0" applyProtection="0"/>
    <xf numFmtId="181" fontId="83" fillId="0" borderId="0" applyFont="0" applyFill="0" applyBorder="0" applyAlignment="0" applyProtection="0"/>
    <xf numFmtId="14" fontId="15" fillId="0" borderId="0">
      <alignment horizontal="center" wrapText="1"/>
      <protection locked="0"/>
    </xf>
    <xf numFmtId="185" fontId="83" fillId="0" borderId="0" applyFont="0" applyFill="0" applyBorder="0" applyAlignment="0" applyProtection="0"/>
    <xf numFmtId="177" fontId="83" fillId="0" borderId="0" applyFont="0" applyFill="0" applyBorder="0" applyAlignment="0" applyProtection="0"/>
    <xf numFmtId="10" fontId="83" fillId="0" borderId="0" applyFont="0" applyFill="0" applyBorder="0" applyAlignment="0" applyProtection="0">
      <alignment vertical="center"/>
    </xf>
    <xf numFmtId="10" fontId="83" fillId="0" borderId="0" applyFont="0" applyFill="0" applyBorder="0" applyAlignment="0" applyProtection="0"/>
    <xf numFmtId="9" fontId="83" fillId="0" borderId="0" applyFont="0" applyFill="0" applyBorder="0" applyAlignment="0" applyProtection="0"/>
    <xf numFmtId="13" fontId="83" fillId="0" borderId="0" applyFont="0" applyFill="0" applyProtection="0"/>
    <xf numFmtId="0" fontId="16" fillId="18" borderId="1">
      <alignment vertical="center"/>
    </xf>
    <xf numFmtId="0" fontId="16" fillId="18" borderId="1"/>
    <xf numFmtId="191" fontId="45" fillId="0" borderId="0" applyFill="0" applyBorder="0" applyAlignment="0"/>
    <xf numFmtId="183" fontId="45" fillId="0" borderId="0" applyFill="0" applyBorder="0" applyAlignment="0"/>
    <xf numFmtId="191" fontId="45" fillId="0" borderId="0" applyFill="0" applyBorder="0" applyAlignment="0"/>
    <xf numFmtId="192" fontId="45" fillId="0" borderId="0" applyFill="0" applyBorder="0" applyAlignment="0"/>
    <xf numFmtId="183" fontId="45" fillId="0" borderId="0" applyFill="0" applyBorder="0" applyAlignment="0"/>
    <xf numFmtId="4" fontId="19" fillId="0" borderId="0">
      <alignment horizontal="right" vertical="center"/>
    </xf>
    <xf numFmtId="4" fontId="19" fillId="0" borderId="0">
      <alignment horizontal="right"/>
    </xf>
    <xf numFmtId="211" fontId="77" fillId="0" borderId="0"/>
    <xf numFmtId="0" fontId="83" fillId="0" borderId="0" applyNumberFormat="0" applyFont="0" applyFill="0" applyBorder="0" applyAlignment="0" applyProtection="0">
      <alignment horizontal="left"/>
    </xf>
    <xf numFmtId="0" fontId="73" fillId="0" borderId="2">
      <alignment horizontal="center"/>
    </xf>
    <xf numFmtId="4" fontId="67" fillId="0" borderId="0">
      <alignment horizontal="right" vertical="center"/>
    </xf>
    <xf numFmtId="4" fontId="67" fillId="0" borderId="0">
      <alignment horizontal="right"/>
    </xf>
    <xf numFmtId="0" fontId="10" fillId="0" borderId="0" applyNumberFormat="0" applyFill="0" applyBorder="0" applyAlignment="0" applyProtection="0">
      <alignment horizontal="left"/>
    </xf>
    <xf numFmtId="41" fontId="83" fillId="0" borderId="0" applyFont="0" applyFill="0" applyBorder="0" applyAlignment="0" applyProtection="0">
      <alignment vertical="center"/>
    </xf>
    <xf numFmtId="0" fontId="35" fillId="23" borderId="7" applyNumberFormat="0" applyProtection="0">
      <alignment vertical="center"/>
    </xf>
    <xf numFmtId="0" fontId="35" fillId="23" borderId="7" applyNumberFormat="0" applyProtection="0">
      <alignment vertical="center"/>
    </xf>
    <xf numFmtId="0" fontId="36" fillId="23" borderId="7" applyNumberFormat="0" applyProtection="0">
      <alignment vertical="center"/>
    </xf>
    <xf numFmtId="0" fontId="36" fillId="23" borderId="7" applyNumberFormat="0" applyProtection="0">
      <alignment vertical="center"/>
    </xf>
    <xf numFmtId="0" fontId="35" fillId="23" borderId="7" applyNumberFormat="0" applyProtection="0">
      <alignment horizontal="left" vertical="center" indent="1"/>
    </xf>
    <xf numFmtId="0" fontId="35" fillId="23" borderId="7" applyNumberFormat="0" applyProtection="0">
      <alignment horizontal="left" vertical="center" indent="1"/>
    </xf>
    <xf numFmtId="0" fontId="35" fillId="23" borderId="7" applyNumberFormat="0" applyProtection="0">
      <alignment horizontal="left" vertical="top" indent="1"/>
    </xf>
    <xf numFmtId="0" fontId="35" fillId="24" borderId="0" applyNumberFormat="0" applyProtection="0">
      <alignment horizontal="left" vertical="center" indent="1"/>
    </xf>
    <xf numFmtId="0" fontId="35" fillId="24" borderId="0" applyNumberFormat="0" applyProtection="0">
      <alignment horizontal="left" vertical="center" indent="1"/>
    </xf>
    <xf numFmtId="0" fontId="34" fillId="3" borderId="7" applyNumberFormat="0" applyProtection="0">
      <alignment horizontal="right" vertical="center"/>
    </xf>
    <xf numFmtId="0" fontId="34" fillId="3" borderId="7" applyNumberFormat="0" applyProtection="0">
      <alignment horizontal="right" vertical="center"/>
    </xf>
    <xf numFmtId="0" fontId="34" fillId="8" borderId="7" applyNumberFormat="0" applyProtection="0">
      <alignment horizontal="right" vertical="center"/>
    </xf>
    <xf numFmtId="0" fontId="34" fillId="8" borderId="7" applyNumberFormat="0" applyProtection="0">
      <alignment horizontal="right" vertical="center"/>
    </xf>
    <xf numFmtId="0" fontId="34" fillId="25" borderId="7" applyNumberFormat="0" applyProtection="0">
      <alignment horizontal="right" vertical="center"/>
    </xf>
    <xf numFmtId="0" fontId="34" fillId="25" borderId="7" applyNumberFormat="0" applyProtection="0">
      <alignment horizontal="right" vertical="center"/>
    </xf>
    <xf numFmtId="0" fontId="34" fillId="10" borderId="7" applyNumberFormat="0" applyProtection="0">
      <alignment horizontal="right" vertical="center"/>
    </xf>
    <xf numFmtId="0" fontId="34" fillId="10" borderId="7" applyNumberFormat="0" applyProtection="0">
      <alignment horizontal="right" vertical="center"/>
    </xf>
    <xf numFmtId="0" fontId="34" fillId="12" borderId="7" applyNumberFormat="0" applyProtection="0">
      <alignment horizontal="right" vertical="center"/>
    </xf>
    <xf numFmtId="0" fontId="34" fillId="12" borderId="7" applyNumberFormat="0" applyProtection="0">
      <alignment horizontal="right" vertical="center"/>
    </xf>
    <xf numFmtId="0" fontId="34" fillId="26" borderId="7" applyNumberFormat="0" applyProtection="0">
      <alignment horizontal="right" vertical="center"/>
    </xf>
    <xf numFmtId="0" fontId="34" fillId="26" borderId="7" applyNumberFormat="0" applyProtection="0">
      <alignment horizontal="right" vertical="center"/>
    </xf>
    <xf numFmtId="0" fontId="34" fillId="27" borderId="7" applyNumberFormat="0" applyProtection="0">
      <alignment horizontal="right" vertical="center"/>
    </xf>
    <xf numFmtId="0" fontId="34" fillId="27" borderId="7" applyNumberFormat="0" applyProtection="0">
      <alignment horizontal="right" vertical="center"/>
    </xf>
    <xf numFmtId="0" fontId="34" fillId="28" borderId="7" applyNumberFormat="0" applyProtection="0">
      <alignment horizontal="right" vertical="center"/>
    </xf>
    <xf numFmtId="0" fontId="34" fillId="28" borderId="7" applyNumberFormat="0" applyProtection="0">
      <alignment horizontal="right" vertical="center"/>
    </xf>
    <xf numFmtId="0" fontId="34" fillId="9" borderId="7" applyNumberFormat="0" applyProtection="0">
      <alignment horizontal="right" vertical="center"/>
    </xf>
    <xf numFmtId="0" fontId="34" fillId="9" borderId="7" applyNumberFormat="0" applyProtection="0">
      <alignment horizontal="right" vertical="center"/>
    </xf>
    <xf numFmtId="0" fontId="35" fillId="29" borderId="8" applyNumberFormat="0" applyProtection="0">
      <alignment horizontal="left" vertical="center" indent="1"/>
    </xf>
    <xf numFmtId="0" fontId="35" fillId="29" borderId="8" applyNumberFormat="0" applyProtection="0">
      <alignment horizontal="left" vertical="center" indent="1"/>
    </xf>
    <xf numFmtId="0" fontId="34" fillId="30" borderId="0" applyNumberFormat="0" applyProtection="0">
      <alignment horizontal="left" vertical="center" indent="1"/>
    </xf>
    <xf numFmtId="0" fontId="34" fillId="30" borderId="0" applyNumberFormat="0" applyProtection="0">
      <alignment horizontal="left" vertical="center" indent="1"/>
    </xf>
    <xf numFmtId="0" fontId="66" fillId="15" borderId="0" applyNumberFormat="0" applyProtection="0">
      <alignment horizontal="left" vertical="center" indent="1"/>
    </xf>
    <xf numFmtId="0" fontId="66" fillId="15" borderId="0" applyNumberFormat="0" applyProtection="0">
      <alignment horizontal="left" vertical="center" indent="1"/>
    </xf>
    <xf numFmtId="0" fontId="34" fillId="24" borderId="7" applyNumberFormat="0" applyProtection="0">
      <alignment horizontal="right" vertical="center"/>
    </xf>
    <xf numFmtId="0" fontId="34" fillId="24" borderId="7" applyNumberFormat="0" applyProtection="0">
      <alignment horizontal="right" vertical="center"/>
    </xf>
    <xf numFmtId="0" fontId="34" fillId="30" borderId="0" applyNumberFormat="0" applyProtection="0">
      <alignment horizontal="left" vertical="center" indent="1"/>
    </xf>
    <xf numFmtId="0" fontId="34" fillId="30" borderId="0" applyNumberFormat="0" applyProtection="0">
      <alignment horizontal="left" vertical="center" indent="1"/>
    </xf>
    <xf numFmtId="0" fontId="34" fillId="24" borderId="0" applyNumberFormat="0" applyProtection="0">
      <alignment horizontal="left" vertical="center" indent="1"/>
    </xf>
    <xf numFmtId="0" fontId="34" fillId="24" borderId="0" applyNumberFormat="0" applyProtection="0">
      <alignment horizontal="left" vertical="center" indent="1"/>
    </xf>
    <xf numFmtId="0" fontId="13" fillId="15" borderId="7" applyNumberFormat="0" applyProtection="0">
      <alignment horizontal="left" vertical="center" indent="1"/>
    </xf>
    <xf numFmtId="0" fontId="13" fillId="15" borderId="7" applyNumberFormat="0" applyProtection="0">
      <alignment horizontal="left" vertical="top" indent="1"/>
    </xf>
    <xf numFmtId="0" fontId="13" fillId="24" borderId="7" applyNumberFormat="0" applyProtection="0">
      <alignment horizontal="left" vertical="center" indent="1"/>
    </xf>
    <xf numFmtId="0" fontId="13" fillId="24" borderId="7" applyNumberFormat="0" applyProtection="0">
      <alignment horizontal="left" vertical="top" indent="1"/>
    </xf>
    <xf numFmtId="0" fontId="13" fillId="7" borderId="7" applyNumberFormat="0" applyProtection="0">
      <alignment horizontal="left" vertical="center" indent="1"/>
    </xf>
    <xf numFmtId="0" fontId="13" fillId="7" borderId="7" applyNumberFormat="0" applyProtection="0">
      <alignment horizontal="left" vertical="top" indent="1"/>
    </xf>
    <xf numFmtId="0" fontId="13" fillId="30" borderId="7" applyNumberFormat="0" applyProtection="0">
      <alignment horizontal="left" vertical="center" indent="1"/>
    </xf>
    <xf numFmtId="0" fontId="13" fillId="30" borderId="7" applyNumberFormat="0" applyProtection="0">
      <alignment horizontal="left" vertical="top" indent="1"/>
    </xf>
    <xf numFmtId="0" fontId="34" fillId="17" borderId="7" applyNumberFormat="0" applyProtection="0">
      <alignment vertical="center"/>
    </xf>
    <xf numFmtId="0" fontId="34" fillId="17" borderId="7" applyNumberFormat="0" applyProtection="0">
      <alignment vertical="center"/>
    </xf>
    <xf numFmtId="0" fontId="65" fillId="17" borderId="7" applyNumberFormat="0" applyProtection="0">
      <alignment vertical="center"/>
    </xf>
    <xf numFmtId="0" fontId="65" fillId="17" borderId="7" applyNumberFormat="0" applyProtection="0">
      <alignment vertical="center"/>
    </xf>
    <xf numFmtId="0" fontId="34" fillId="17" borderId="7" applyNumberFormat="0" applyProtection="0">
      <alignment horizontal="left" vertical="center" indent="1"/>
    </xf>
    <xf numFmtId="0" fontId="34" fillId="17" borderId="7" applyNumberFormat="0" applyProtection="0">
      <alignment horizontal="left" vertical="center" indent="1"/>
    </xf>
    <xf numFmtId="0" fontId="34" fillId="17" borderId="7" applyNumberFormat="0" applyProtection="0">
      <alignment horizontal="left" vertical="top" indent="1"/>
    </xf>
    <xf numFmtId="0" fontId="34" fillId="30" borderId="7" applyNumberFormat="0" applyProtection="0">
      <alignment horizontal="right" vertical="center"/>
    </xf>
    <xf numFmtId="0" fontId="34" fillId="30" borderId="7" applyNumberFormat="0" applyProtection="0">
      <alignment horizontal="right" vertical="center"/>
    </xf>
    <xf numFmtId="0" fontId="65" fillId="30" borderId="7" applyNumberFormat="0" applyProtection="0">
      <alignment horizontal="right" vertical="center"/>
    </xf>
    <xf numFmtId="0" fontId="65" fillId="30" borderId="7" applyNumberFormat="0" applyProtection="0">
      <alignment horizontal="right" vertical="center"/>
    </xf>
    <xf numFmtId="0" fontId="34" fillId="24" borderId="7" applyNumberFormat="0" applyProtection="0">
      <alignment horizontal="left" vertical="center" indent="1"/>
    </xf>
    <xf numFmtId="0" fontId="34" fillId="24" borderId="7" applyNumberFormat="0" applyProtection="0">
      <alignment horizontal="left" vertical="center" indent="1"/>
    </xf>
    <xf numFmtId="0" fontId="34" fillId="24" borderId="7" applyNumberFormat="0" applyProtection="0">
      <alignment horizontal="left" vertical="top" indent="1"/>
    </xf>
    <xf numFmtId="0" fontId="44" fillId="21" borderId="0" applyNumberFormat="0" applyProtection="0">
      <alignment horizontal="left" vertical="center" indent="1"/>
    </xf>
    <xf numFmtId="0" fontId="44" fillId="21" borderId="0" applyNumberFormat="0" applyProtection="0">
      <alignment horizontal="left" vertical="center" indent="1"/>
    </xf>
    <xf numFmtId="0" fontId="40" fillId="30" borderId="7" applyNumberFormat="0" applyProtection="0">
      <alignment horizontal="right" vertical="center"/>
    </xf>
    <xf numFmtId="0" fontId="40" fillId="30" borderId="7" applyNumberFormat="0" applyProtection="0">
      <alignment horizontal="right" vertical="center"/>
    </xf>
    <xf numFmtId="0" fontId="63" fillId="0" borderId="0">
      <alignment horizontal="left" vertical="center"/>
    </xf>
    <xf numFmtId="0" fontId="63" fillId="0" borderId="0">
      <alignment horizontal="left"/>
    </xf>
    <xf numFmtId="43" fontId="16" fillId="0" borderId="9">
      <alignment vertical="center"/>
    </xf>
    <xf numFmtId="43" fontId="16" fillId="0" borderId="9"/>
    <xf numFmtId="0" fontId="46" fillId="0" borderId="0"/>
    <xf numFmtId="0" fontId="37" fillId="0" borderId="0">
      <alignment vertical="center"/>
    </xf>
    <xf numFmtId="0" fontId="37" fillId="0" borderId="0"/>
    <xf numFmtId="40" fontId="39" fillId="0" borderId="0" applyBorder="0">
      <alignment horizontal="right"/>
    </xf>
    <xf numFmtId="49" fontId="34" fillId="0" borderId="0" applyFill="0" applyBorder="0" applyAlignment="0"/>
    <xf numFmtId="201" fontId="13" fillId="0" borderId="0" applyFill="0" applyBorder="0" applyAlignment="0"/>
    <xf numFmtId="178" fontId="13" fillId="0" borderId="0" applyFill="0" applyBorder="0" applyAlignment="0"/>
    <xf numFmtId="0" fontId="62" fillId="0" borderId="0">
      <alignment horizontal="center" vertical="center"/>
    </xf>
    <xf numFmtId="0" fontId="62" fillId="0" borderId="0">
      <alignment horizontal="center"/>
    </xf>
    <xf numFmtId="188" fontId="13" fillId="0" borderId="10">
      <protection locked="0"/>
    </xf>
    <xf numFmtId="206" fontId="83" fillId="0" borderId="0" applyFont="0" applyFill="0" applyBorder="0" applyAlignment="0" applyProtection="0">
      <alignment vertical="center"/>
    </xf>
    <xf numFmtId="199" fontId="83" fillId="0" borderId="0" applyFont="0" applyFill="0" applyBorder="0" applyAlignment="0" applyProtection="0">
      <alignment vertical="center"/>
    </xf>
    <xf numFmtId="200" fontId="83" fillId="0" borderId="0" applyFont="0" applyFill="0" applyBorder="0" applyAlignment="0" applyProtection="0">
      <alignment vertical="center"/>
    </xf>
    <xf numFmtId="190" fontId="83" fillId="0" borderId="0" applyFont="0" applyFill="0" applyBorder="0" applyAlignment="0" applyProtection="0">
      <alignment vertical="center"/>
    </xf>
    <xf numFmtId="9" fontId="83" fillId="0" borderId="0" applyFont="0" applyFill="0" applyBorder="0" applyAlignment="0" applyProtection="0">
      <alignment vertical="center"/>
    </xf>
    <xf numFmtId="0" fontId="10" fillId="0" borderId="0">
      <alignment vertical="center"/>
    </xf>
    <xf numFmtId="0" fontId="59" fillId="0" borderId="0">
      <alignment vertical="center"/>
    </xf>
    <xf numFmtId="182" fontId="83" fillId="0" borderId="0" applyFont="0" applyFill="0" applyBorder="0" applyAlignment="0" applyProtection="0">
      <alignment vertical="center"/>
    </xf>
    <xf numFmtId="212" fontId="83" fillId="0" borderId="0" applyFont="0" applyFill="0" applyBorder="0" applyAlignment="0" applyProtection="0">
      <alignment vertical="center"/>
    </xf>
    <xf numFmtId="41" fontId="83" fillId="0" borderId="0" applyFont="0" applyFill="0" applyBorder="0" applyAlignment="0" applyProtection="0">
      <alignment vertical="center"/>
    </xf>
    <xf numFmtId="9" fontId="83" fillId="0" borderId="0" applyFont="0" applyFill="0" applyBorder="0" applyAlignment="0" applyProtection="0">
      <alignment vertical="center"/>
    </xf>
    <xf numFmtId="9" fontId="83" fillId="0" borderId="0" applyFont="0" applyFill="0" applyBorder="0" applyAlignment="0" applyProtection="0">
      <alignment vertical="center"/>
    </xf>
    <xf numFmtId="9" fontId="83" fillId="0" borderId="0" applyFont="0" applyFill="0" applyBorder="0" applyAlignment="0" applyProtection="0"/>
    <xf numFmtId="0" fontId="83" fillId="0" borderId="0" applyFont="0" applyFill="0" applyBorder="0" applyAlignment="0" applyProtection="0">
      <alignment vertical="center"/>
    </xf>
    <xf numFmtId="0" fontId="83" fillId="0" borderId="0" applyFont="0" applyFill="0" applyBorder="0" applyAlignment="0" applyProtection="0">
      <alignment vertical="center"/>
    </xf>
    <xf numFmtId="4" fontId="47" fillId="0" borderId="0">
      <alignment horizontal="right" vertical="center"/>
    </xf>
    <xf numFmtId="0" fontId="60" fillId="0" borderId="0" applyNumberFormat="0" applyFill="0" applyBorder="0" applyAlignment="0" applyProtection="0">
      <alignment vertical="center"/>
    </xf>
    <xf numFmtId="0" fontId="60" fillId="0" borderId="0" applyNumberFormat="0" applyFill="0" applyBorder="0" applyAlignment="0" applyProtection="0"/>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10" borderId="0" applyNumberFormat="0" applyBorder="0" applyAlignment="0" applyProtection="0">
      <alignment vertical="center"/>
    </xf>
    <xf numFmtId="0" fontId="72" fillId="3" borderId="0" applyNumberFormat="0" applyBorder="0" applyAlignment="0" applyProtection="0"/>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10"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42" fillId="20" borderId="0" applyNumberFormat="0" applyBorder="0" applyAlignment="0" applyProtection="0">
      <alignment vertical="center"/>
    </xf>
    <xf numFmtId="0" fontId="42" fillId="20"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42" fillId="20" borderId="0" applyNumberFormat="0" applyBorder="0" applyAlignment="0" applyProtection="0">
      <alignment vertical="center"/>
    </xf>
    <xf numFmtId="0" fontId="42" fillId="2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10" borderId="0" applyNumberFormat="0" applyBorder="0" applyAlignment="0" applyProtection="0">
      <alignment vertical="center"/>
    </xf>
    <xf numFmtId="0" fontId="53" fillId="3"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54" fillId="10" borderId="0" applyNumberFormat="0" applyBorder="0" applyAlignment="0" applyProtection="0">
      <alignment vertical="center"/>
    </xf>
    <xf numFmtId="0" fontId="83"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0" fontId="83" fillId="0" borderId="0">
      <alignment vertical="center"/>
    </xf>
    <xf numFmtId="0" fontId="29" fillId="0" borderId="0">
      <alignment vertical="center"/>
    </xf>
    <xf numFmtId="0" fontId="1" fillId="0" borderId="0">
      <alignment vertical="center"/>
    </xf>
    <xf numFmtId="0" fontId="1" fillId="0" borderId="0"/>
    <xf numFmtId="0" fontId="1" fillId="0" borderId="0">
      <alignment vertical="center"/>
    </xf>
    <xf numFmtId="0" fontId="1" fillId="0" borderId="0">
      <alignment vertical="center"/>
    </xf>
    <xf numFmtId="0" fontId="1" fillId="0" borderId="0">
      <alignment vertical="center"/>
    </xf>
    <xf numFmtId="0" fontId="83" fillId="0" borderId="0">
      <alignment vertical="center"/>
    </xf>
    <xf numFmtId="0" fontId="1" fillId="0" borderId="0"/>
    <xf numFmtId="0" fontId="1" fillId="0" borderId="0">
      <alignment vertical="center"/>
    </xf>
    <xf numFmtId="0" fontId="29" fillId="0" borderId="0">
      <alignment vertical="center"/>
    </xf>
    <xf numFmtId="0" fontId="1" fillId="0" borderId="0"/>
    <xf numFmtId="0" fontId="29" fillId="0" borderId="0">
      <alignment vertical="center"/>
    </xf>
    <xf numFmtId="0" fontId="83" fillId="0" borderId="0"/>
    <xf numFmtId="0" fontId="29" fillId="0" borderId="0">
      <alignment vertical="center"/>
    </xf>
    <xf numFmtId="0" fontId="1" fillId="0" borderId="0"/>
    <xf numFmtId="0" fontId="29" fillId="0" borderId="0">
      <alignment vertical="center"/>
    </xf>
    <xf numFmtId="0" fontId="1" fillId="0" borderId="0"/>
    <xf numFmtId="0" fontId="10" fillId="0" borderId="0"/>
    <xf numFmtId="0" fontId="83" fillId="0" borderId="0">
      <alignment vertical="center"/>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50" fillId="0" borderId="0" applyNumberFormat="0" applyFill="0" applyBorder="0" applyAlignment="0" applyProtection="0">
      <alignment vertical="top"/>
      <protection locked="0"/>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41" fillId="31" borderId="0" applyNumberFormat="0" applyBorder="0" applyAlignment="0" applyProtection="0">
      <alignment vertical="center"/>
    </xf>
    <xf numFmtId="0" fontId="78" fillId="4" borderId="0" applyNumberFormat="0" applyBorder="0" applyAlignment="0" applyProtection="0"/>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31"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64" fillId="32" borderId="0" applyNumberFormat="0" applyBorder="0" applyAlignment="0" applyProtection="0">
      <alignment vertical="center"/>
    </xf>
    <xf numFmtId="0" fontId="64" fillId="32"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64" fillId="32" borderId="0" applyNumberFormat="0" applyBorder="0" applyAlignment="0" applyProtection="0">
      <alignment vertical="center"/>
    </xf>
    <xf numFmtId="0" fontId="64" fillId="32"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4" borderId="0" applyNumberFormat="0" applyBorder="0" applyAlignment="0" applyProtection="0">
      <alignment vertical="center"/>
    </xf>
    <xf numFmtId="0" fontId="38" fillId="4" borderId="0" applyNumberFormat="0" applyBorder="0" applyAlignment="0" applyProtection="0">
      <alignment vertical="center"/>
    </xf>
    <xf numFmtId="0" fontId="41" fillId="31" borderId="0" applyNumberFormat="0" applyBorder="0" applyAlignment="0" applyProtection="0">
      <alignment vertical="center"/>
    </xf>
    <xf numFmtId="0" fontId="38" fillId="4"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64" fillId="32" borderId="0" applyNumberFormat="0" applyBorder="0" applyAlignment="0" applyProtection="0">
      <alignment vertical="center"/>
    </xf>
    <xf numFmtId="0" fontId="64" fillId="32" borderId="0" applyNumberFormat="0" applyBorder="0" applyAlignment="0" applyProtection="0">
      <alignment vertical="center"/>
    </xf>
    <xf numFmtId="0" fontId="41" fillId="31" borderId="0" applyNumberFormat="0" applyBorder="0" applyAlignment="0" applyProtection="0">
      <alignment vertical="center"/>
    </xf>
    <xf numFmtId="0" fontId="41" fillId="31" borderId="0" applyNumberFormat="0" applyBorder="0" applyAlignment="0" applyProtection="0">
      <alignment vertical="center"/>
    </xf>
    <xf numFmtId="0" fontId="64" fillId="32" borderId="0" applyNumberFormat="0" applyBorder="0" applyAlignment="0" applyProtection="0">
      <alignment vertical="center"/>
    </xf>
    <xf numFmtId="0" fontId="64" fillId="32" borderId="0" applyNumberFormat="0" applyBorder="0" applyAlignment="0" applyProtection="0">
      <alignment vertical="center"/>
    </xf>
    <xf numFmtId="0" fontId="38" fillId="31" borderId="0" applyNumberFormat="0" applyBorder="0" applyAlignment="0" applyProtection="0">
      <alignment vertical="center"/>
    </xf>
    <xf numFmtId="0" fontId="38" fillId="31" borderId="0" applyNumberFormat="0" applyBorder="0" applyAlignment="0" applyProtection="0">
      <alignment vertical="center"/>
    </xf>
    <xf numFmtId="4" fontId="83" fillId="0" borderId="0" applyFont="0" applyFill="0" applyBorder="0" applyAlignment="0" applyProtection="0">
      <alignment vertical="center"/>
    </xf>
    <xf numFmtId="41" fontId="83" fillId="0" borderId="0" applyFont="0" applyFill="0" applyBorder="0" applyAlignment="0" applyProtection="0">
      <alignment vertical="center"/>
    </xf>
    <xf numFmtId="210" fontId="83" fillId="0" borderId="0" applyFont="0" applyFill="0" applyBorder="0" applyAlignment="0" applyProtection="0">
      <alignment vertical="center"/>
    </xf>
    <xf numFmtId="213" fontId="83" fillId="0" borderId="0" applyFont="0" applyFill="0" applyBorder="0" applyAlignment="0" applyProtection="0">
      <alignment vertical="center"/>
    </xf>
    <xf numFmtId="207" fontId="83" fillId="0" borderId="0" applyFont="0" applyFill="0" applyBorder="0" applyAlignment="0" applyProtection="0">
      <alignment vertical="center"/>
    </xf>
    <xf numFmtId="214" fontId="83" fillId="0" borderId="0" applyFont="0" applyFill="0" applyBorder="0" applyAlignment="0" applyProtection="0">
      <alignment vertical="center"/>
    </xf>
    <xf numFmtId="0" fontId="10" fillId="0" borderId="0"/>
    <xf numFmtId="1" fontId="10" fillId="0" borderId="0"/>
    <xf numFmtId="215" fontId="83" fillId="0" borderId="0" applyFont="0" applyFill="0" applyBorder="0" applyAlignment="0" applyProtection="0">
      <alignment vertical="center"/>
    </xf>
    <xf numFmtId="216" fontId="83" fillId="0" borderId="0" applyFont="0" applyFill="0" applyBorder="0" applyAlignment="0" applyProtection="0">
      <alignment vertical="center"/>
    </xf>
    <xf numFmtId="210" fontId="83" fillId="0" borderId="0" applyFont="0" applyFill="0" applyBorder="0" applyAlignment="0" applyProtection="0">
      <alignment vertical="center"/>
    </xf>
    <xf numFmtId="213" fontId="83" fillId="0" borderId="0" applyFont="0" applyFill="0" applyBorder="0" applyAlignment="0" applyProtection="0">
      <alignment vertical="center"/>
    </xf>
    <xf numFmtId="0" fontId="11" fillId="0" borderId="0">
      <alignment vertical="center"/>
    </xf>
    <xf numFmtId="41" fontId="83" fillId="0" borderId="0" applyFont="0" applyFill="0" applyBorder="0" applyAlignment="0" applyProtection="0">
      <alignment vertical="center"/>
    </xf>
    <xf numFmtId="43" fontId="83" fillId="0" borderId="0" applyFont="0" applyFill="0" applyBorder="0" applyAlignment="0" applyProtection="0">
      <alignment vertical="center"/>
    </xf>
    <xf numFmtId="41"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alignment vertical="center"/>
    </xf>
    <xf numFmtId="43" fontId="83" fillId="0" borderId="0" applyFont="0" applyFill="0" applyBorder="0" applyAlignment="0" applyProtection="0"/>
    <xf numFmtId="43" fontId="83" fillId="0" borderId="0" applyFont="0" applyFill="0" applyBorder="0" applyAlignment="0" applyProtection="0">
      <alignment vertical="center"/>
    </xf>
    <xf numFmtId="43" fontId="83" fillId="0" borderId="0" applyFont="0" applyFill="0" applyBorder="0" applyAlignment="0" applyProtection="0"/>
    <xf numFmtId="43" fontId="83" fillId="0" borderId="0" applyFont="0" applyFill="0" applyBorder="0" applyAlignment="0" applyProtection="0"/>
    <xf numFmtId="43" fontId="83" fillId="0" borderId="0" applyFont="0" applyFill="0" applyBorder="0" applyAlignment="0" applyProtection="0"/>
    <xf numFmtId="41" fontId="83" fillId="0" borderId="0" applyFont="0" applyFill="0" applyBorder="0" applyAlignment="0" applyProtection="0">
      <alignment vertical="center"/>
    </xf>
    <xf numFmtId="41" fontId="83" fillId="0" borderId="0" applyFont="0" applyFill="0" applyBorder="0" applyAlignment="0" applyProtection="0">
      <alignment vertical="center"/>
    </xf>
    <xf numFmtId="41" fontId="83" fillId="0" borderId="0" applyFont="0" applyFill="0" applyBorder="0" applyAlignment="0" applyProtection="0"/>
    <xf numFmtId="217" fontId="10" fillId="0" borderId="0" applyFont="0" applyFill="0" applyBorder="0" applyAlignment="0" applyProtection="0"/>
    <xf numFmtId="0" fontId="80" fillId="0" borderId="0">
      <alignment vertical="center"/>
    </xf>
    <xf numFmtId="0" fontId="69" fillId="33" borderId="0" applyNumberFormat="0" applyBorder="0" applyAlignment="0" applyProtection="0">
      <alignment vertical="center"/>
    </xf>
    <xf numFmtId="0" fontId="69" fillId="33" borderId="0" applyNumberFormat="0" applyBorder="0" applyAlignment="0" applyProtection="0"/>
    <xf numFmtId="0" fontId="69" fillId="34" borderId="0" applyNumberFormat="0" applyBorder="0" applyAlignment="0" applyProtection="0">
      <alignment vertical="center"/>
    </xf>
    <xf numFmtId="0" fontId="69" fillId="34" borderId="0" applyNumberFormat="0" applyBorder="0" applyAlignment="0" applyProtection="0"/>
    <xf numFmtId="0" fontId="69" fillId="35" borderId="0" applyNumberFormat="0" applyBorder="0" applyAlignment="0" applyProtection="0">
      <alignment vertical="center"/>
    </xf>
    <xf numFmtId="0" fontId="69" fillId="35" borderId="0" applyNumberFormat="0" applyBorder="0" applyAlignment="0" applyProtection="0"/>
    <xf numFmtId="191" fontId="83" fillId="0" borderId="0" applyFont="0" applyFill="0" applyBorder="0" applyAlignment="0" applyProtection="0">
      <alignment vertical="center"/>
    </xf>
    <xf numFmtId="218" fontId="83" fillId="0" borderId="0" applyFont="0" applyFill="0" applyBorder="0" applyAlignment="0" applyProtection="0">
      <alignment vertical="center"/>
    </xf>
    <xf numFmtId="0" fontId="13" fillId="0" borderId="0">
      <alignment vertical="center"/>
    </xf>
    <xf numFmtId="0" fontId="10" fillId="0" borderId="0"/>
    <xf numFmtId="0" fontId="81" fillId="0" borderId="0">
      <alignment vertical="center"/>
    </xf>
    <xf numFmtId="0" fontId="79" fillId="0" borderId="0">
      <alignment vertical="center"/>
    </xf>
    <xf numFmtId="40" fontId="83" fillId="0" borderId="0" applyFont="0" applyFill="0" applyBorder="0" applyAlignment="0" applyProtection="0">
      <alignment vertical="center"/>
    </xf>
    <xf numFmtId="38" fontId="83" fillId="0" borderId="0" applyFont="0" applyFill="0" applyBorder="0" applyAlignment="0" applyProtection="0">
      <alignment vertical="center"/>
    </xf>
    <xf numFmtId="0" fontId="13" fillId="0" borderId="1" applyNumberFormat="0">
      <alignment vertical="center"/>
    </xf>
    <xf numFmtId="0" fontId="13" fillId="0" borderId="1" applyNumberFormat="0"/>
    <xf numFmtId="38" fontId="83" fillId="0" borderId="0" applyFont="0" applyFill="0" applyBorder="0" applyAlignment="0" applyProtection="0">
      <alignment vertical="center"/>
    </xf>
    <xf numFmtId="40" fontId="83" fillId="0" borderId="0" applyFont="0" applyFill="0" applyBorder="0" applyAlignment="0" applyProtection="0">
      <alignment vertical="center"/>
    </xf>
    <xf numFmtId="0" fontId="83" fillId="0" borderId="0" applyFont="0" applyFill="0" applyBorder="0" applyAlignment="0" applyProtection="0">
      <alignment vertical="center"/>
    </xf>
    <xf numFmtId="0" fontId="83" fillId="0" borderId="0" applyFont="0" applyFill="0" applyBorder="0" applyAlignment="0" applyProtection="0">
      <alignment vertical="center"/>
    </xf>
    <xf numFmtId="0" fontId="82" fillId="0" borderId="0">
      <alignment vertical="center"/>
    </xf>
  </cellStyleXfs>
  <cellXfs count="544">
    <xf numFmtId="0" fontId="0" fillId="0" borderId="0" xfId="0" applyAlignment="1"/>
    <xf numFmtId="0" fontId="1" fillId="0" borderId="0" xfId="0" applyFont="1" applyAlignment="1"/>
    <xf numFmtId="0" fontId="3" fillId="0" borderId="0" xfId="0" applyFont="1" applyAlignment="1"/>
    <xf numFmtId="0" fontId="4" fillId="0" borderId="11" xfId="0" applyFont="1" applyBorder="1" applyAlignment="1">
      <alignment horizontal="right"/>
    </xf>
    <xf numFmtId="0" fontId="3" fillId="37" borderId="11" xfId="0" applyFont="1" applyFill="1" applyBorder="1" applyAlignment="1">
      <alignment horizontal="right"/>
    </xf>
    <xf numFmtId="0" fontId="4" fillId="0" borderId="1" xfId="0" applyFont="1" applyBorder="1" applyAlignment="1">
      <alignment horizontal="right"/>
    </xf>
    <xf numFmtId="0" fontId="3" fillId="37" borderId="1" xfId="0" applyFont="1" applyFill="1" applyBorder="1" applyAlignment="1">
      <alignment horizontal="right"/>
    </xf>
    <xf numFmtId="0" fontId="4" fillId="0" borderId="12" xfId="0" applyFont="1" applyBorder="1" applyAlignment="1">
      <alignment horizontal="right"/>
    </xf>
    <xf numFmtId="0" fontId="3" fillId="37" borderId="12" xfId="0" applyFont="1" applyFill="1" applyBorder="1" applyAlignment="1">
      <alignment horizontal="right"/>
    </xf>
    <xf numFmtId="0" fontId="3" fillId="0" borderId="11" xfId="0" applyFont="1" applyBorder="1" applyAlignment="1">
      <alignment horizontal="right"/>
    </xf>
    <xf numFmtId="0" fontId="4" fillId="0" borderId="12" xfId="0" applyFont="1" applyBorder="1" applyAlignment="1">
      <alignment horizontal="right" wrapText="1"/>
    </xf>
    <xf numFmtId="0" fontId="3" fillId="0" borderId="12" xfId="0" applyFont="1" applyBorder="1" applyAlignment="1">
      <alignment horizontal="right" wrapText="1"/>
    </xf>
    <xf numFmtId="0" fontId="4" fillId="0" borderId="11" xfId="0" applyFont="1" applyBorder="1" applyAlignment="1"/>
    <xf numFmtId="0" fontId="3" fillId="0" borderId="11" xfId="0" applyFont="1" applyBorder="1" applyAlignment="1"/>
    <xf numFmtId="0" fontId="107" fillId="0" borderId="0" xfId="0" applyFont="1" applyAlignment="1"/>
    <xf numFmtId="0" fontId="4" fillId="0" borderId="11" xfId="0" applyFont="1" applyBorder="1" applyAlignment="1">
      <alignment horizontal="right" vertical="center"/>
    </xf>
    <xf numFmtId="0" fontId="4" fillId="38" borderId="11" xfId="0" applyFont="1" applyFill="1" applyBorder="1" applyAlignment="1">
      <alignment horizontal="right" vertical="center"/>
    </xf>
    <xf numFmtId="0" fontId="4" fillId="0" borderId="11" xfId="0" applyFont="1" applyBorder="1" applyAlignment="1">
      <alignment horizontal="center" vertical="center" wrapText="1"/>
    </xf>
    <xf numFmtId="0" fontId="4" fillId="0" borderId="1" xfId="0" applyFont="1" applyBorder="1" applyAlignment="1">
      <alignment horizontal="right" vertical="center"/>
    </xf>
    <xf numFmtId="0" fontId="4" fillId="38" borderId="1" xfId="0" applyFont="1" applyFill="1" applyBorder="1" applyAlignment="1">
      <alignment horizontal="right" vertical="center"/>
    </xf>
    <xf numFmtId="0" fontId="4" fillId="0" borderId="1" xfId="0" applyFont="1" applyBorder="1" applyAlignment="1">
      <alignment horizontal="center" vertical="center" wrapText="1"/>
    </xf>
    <xf numFmtId="0" fontId="4" fillId="0" borderId="1" xfId="0" applyFont="1" applyBorder="1" applyAlignment="1">
      <alignment horizontal="left" vertical="center"/>
    </xf>
    <xf numFmtId="0" fontId="4" fillId="0" borderId="13" xfId="0" applyFont="1" applyBorder="1" applyAlignment="1">
      <alignment horizontal="left" vertical="center"/>
    </xf>
    <xf numFmtId="0" fontId="4" fillId="0" borderId="1" xfId="0" applyFont="1" applyBorder="1" applyAlignment="1">
      <alignment horizontal="left" vertical="center" wrapText="1"/>
    </xf>
    <xf numFmtId="0" fontId="4" fillId="0" borderId="1" xfId="0" applyFont="1" applyBorder="1" applyAlignment="1"/>
    <xf numFmtId="0" fontId="4" fillId="0" borderId="12" xfId="0" applyFont="1" applyBorder="1" applyAlignment="1"/>
    <xf numFmtId="0" fontId="3" fillId="0" borderId="0" xfId="374" applyFont="1" applyAlignment="1" applyProtection="1">
      <protection locked="0"/>
    </xf>
    <xf numFmtId="0" fontId="3" fillId="0" borderId="0" xfId="374" applyFont="1" applyAlignment="1" applyProtection="1">
      <alignment horizontal="center"/>
      <protection locked="0"/>
    </xf>
    <xf numFmtId="43" fontId="5" fillId="0" borderId="0" xfId="509" applyFont="1" applyAlignment="1" applyProtection="1">
      <protection locked="0"/>
    </xf>
    <xf numFmtId="0" fontId="5" fillId="0" borderId="0" xfId="374" applyFont="1" applyAlignment="1" applyProtection="1">
      <protection locked="0"/>
    </xf>
    <xf numFmtId="0" fontId="8" fillId="0" borderId="0" xfId="374" applyFont="1" applyAlignment="1" applyProtection="1">
      <protection hidden="1"/>
    </xf>
    <xf numFmtId="0" fontId="8" fillId="0" borderId="0" xfId="374" applyFont="1" applyAlignment="1" applyProtection="1">
      <protection locked="0"/>
    </xf>
    <xf numFmtId="0" fontId="8" fillId="0" borderId="14" xfId="374" applyFont="1" applyBorder="1" applyAlignment="1" applyProtection="1">
      <alignment horizontal="left" vertical="center"/>
      <protection locked="0"/>
    </xf>
    <xf numFmtId="0" fontId="9" fillId="0" borderId="9" xfId="374" applyFont="1" applyBorder="1" applyAlignment="1" applyProtection="1">
      <alignment horizontal="left" vertical="center"/>
      <protection locked="0"/>
    </xf>
    <xf numFmtId="0" fontId="8" fillId="0" borderId="9" xfId="374" applyFont="1" applyBorder="1" applyAlignment="1" applyProtection="1">
      <alignment horizontal="left" vertical="center"/>
      <protection locked="0"/>
    </xf>
    <xf numFmtId="43" fontId="10" fillId="0" borderId="15" xfId="509" applyFont="1" applyBorder="1" applyAlignment="1" applyProtection="1">
      <protection locked="0"/>
    </xf>
    <xf numFmtId="0" fontId="3" fillId="0" borderId="9" xfId="380" applyFont="1" applyBorder="1" applyAlignment="1" applyProtection="1">
      <alignment horizontal="left" vertical="center"/>
      <protection locked="0"/>
    </xf>
    <xf numFmtId="219" fontId="10" fillId="0" borderId="15" xfId="509" applyNumberFormat="1" applyFont="1" applyFill="1" applyBorder="1" applyAlignment="1" applyProtection="1">
      <protection locked="0"/>
    </xf>
    <xf numFmtId="0" fontId="8" fillId="0" borderId="16" xfId="374" applyFont="1" applyBorder="1" applyAlignment="1" applyProtection="1">
      <alignment horizontal="left" vertical="center"/>
      <protection locked="0"/>
    </xf>
    <xf numFmtId="0" fontId="20" fillId="0" borderId="0" xfId="0" applyFont="1" applyAlignment="1"/>
    <xf numFmtId="0" fontId="24"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4" fillId="0" borderId="0" xfId="0" applyFont="1" applyAlignment="1">
      <alignment vertical="center" wrapText="1"/>
    </xf>
    <xf numFmtId="0" fontId="19" fillId="0" borderId="0" xfId="0" applyFont="1">
      <alignment vertical="center"/>
    </xf>
    <xf numFmtId="0" fontId="10" fillId="0" borderId="0" xfId="0" applyFont="1" applyAlignment="1"/>
    <xf numFmtId="0" fontId="8" fillId="0" borderId="0" xfId="0" applyFont="1">
      <alignment vertical="center"/>
    </xf>
    <xf numFmtId="0" fontId="7" fillId="0" borderId="0" xfId="0" applyFont="1">
      <alignment vertical="center"/>
    </xf>
    <xf numFmtId="0" fontId="8" fillId="0" borderId="14" xfId="0" applyFont="1" applyBorder="1" applyAlignment="1">
      <alignment vertical="center" wrapText="1"/>
    </xf>
    <xf numFmtId="43" fontId="10" fillId="0" borderId="9" xfId="508" applyFont="1" applyBorder="1" applyAlignment="1">
      <alignment horizontal="right"/>
    </xf>
    <xf numFmtId="43" fontId="10" fillId="0" borderId="15" xfId="508" applyFont="1" applyBorder="1" applyAlignment="1">
      <alignment horizontal="right"/>
    </xf>
    <xf numFmtId="219" fontId="10" fillId="0" borderId="9" xfId="0" applyNumberFormat="1" applyFont="1" applyBorder="1" applyAlignment="1">
      <alignment horizontal="right"/>
    </xf>
    <xf numFmtId="219" fontId="10" fillId="0" borderId="15" xfId="0" applyNumberFormat="1" applyFont="1" applyBorder="1" applyAlignment="1">
      <alignment horizontal="right"/>
    </xf>
    <xf numFmtId="0" fontId="8" fillId="0" borderId="0" xfId="0" applyFont="1" applyAlignment="1"/>
    <xf numFmtId="0" fontId="4" fillId="0" borderId="0" xfId="0" applyFont="1" applyAlignment="1"/>
    <xf numFmtId="0" fontId="8" fillId="0" borderId="0" xfId="0" applyFont="1" applyAlignment="1">
      <alignment horizontal="right" vertical="center"/>
    </xf>
    <xf numFmtId="0" fontId="10" fillId="0" borderId="0" xfId="0" applyFont="1" applyAlignment="1">
      <alignment horizontal="right" vertical="center"/>
    </xf>
    <xf numFmtId="43" fontId="10" fillId="0" borderId="0" xfId="0" applyNumberFormat="1" applyFont="1" applyAlignment="1">
      <alignment horizontal="right" vertical="center"/>
    </xf>
    <xf numFmtId="0" fontId="11" fillId="0" borderId="0" xfId="0" applyFont="1" applyAlignment="1">
      <alignment horizontal="right" vertical="center"/>
    </xf>
    <xf numFmtId="43" fontId="7" fillId="0" borderId="0" xfId="0" applyNumberFormat="1" applyFont="1" applyAlignment="1">
      <alignment horizontal="right" vertical="center"/>
    </xf>
    <xf numFmtId="43" fontId="5" fillId="0" borderId="0" xfId="509" applyFont="1" applyBorder="1" applyAlignment="1" applyProtection="1">
      <protection locked="0"/>
    </xf>
    <xf numFmtId="0" fontId="29" fillId="0" borderId="0" xfId="0" applyFont="1">
      <alignment vertical="center"/>
    </xf>
    <xf numFmtId="0" fontId="7" fillId="0" borderId="0" xfId="374" applyFont="1" applyAlignment="1" applyProtection="1">
      <protection locked="0"/>
    </xf>
    <xf numFmtId="0" fontId="29" fillId="0" borderId="0" xfId="0" applyFont="1" applyAlignment="1">
      <alignment horizontal="right" vertical="center"/>
    </xf>
    <xf numFmtId="0" fontId="11" fillId="36" borderId="0" xfId="392" applyFont="1" applyFill="1" applyAlignment="1">
      <alignment vertical="center" wrapText="1"/>
    </xf>
    <xf numFmtId="0" fontId="11" fillId="36" borderId="0" xfId="392" applyFont="1" applyFill="1">
      <alignment vertical="center"/>
    </xf>
    <xf numFmtId="0" fontId="10" fillId="36" borderId="0" xfId="0" applyFont="1" applyFill="1">
      <alignment vertical="center"/>
    </xf>
    <xf numFmtId="0" fontId="10" fillId="36" borderId="0" xfId="0" applyFont="1" applyFill="1" applyAlignment="1">
      <alignment horizontal="justify" vertical="justify"/>
    </xf>
    <xf numFmtId="0" fontId="11" fillId="36" borderId="0" xfId="0" applyFont="1" applyFill="1" applyAlignment="1">
      <alignment horizontal="left" vertical="center"/>
    </xf>
    <xf numFmtId="0" fontId="11" fillId="36" borderId="0" xfId="0" applyFont="1" applyFill="1">
      <alignment vertical="center"/>
    </xf>
    <xf numFmtId="0" fontId="10" fillId="36" borderId="2" xfId="0" applyFont="1" applyFill="1" applyBorder="1" applyAlignment="1">
      <alignment horizontal="right" vertical="center"/>
    </xf>
    <xf numFmtId="0" fontId="31" fillId="36" borderId="0" xfId="0" applyFont="1" applyFill="1" applyAlignment="1">
      <alignment horizontal="distributed" vertical="center" wrapText="1"/>
    </xf>
    <xf numFmtId="0" fontId="10" fillId="36" borderId="0" xfId="0" applyFont="1" applyFill="1" applyAlignment="1">
      <alignment vertical="center" shrinkToFit="1"/>
    </xf>
    <xf numFmtId="0" fontId="11" fillId="36" borderId="0" xfId="0" applyFont="1" applyFill="1" applyAlignment="1">
      <alignment vertical="center" shrinkToFit="1"/>
    </xf>
    <xf numFmtId="0" fontId="27" fillId="36" borderId="0" xfId="0" applyFont="1" applyFill="1" applyAlignment="1">
      <alignment horizontal="center" vertical="center" shrinkToFit="1"/>
    </xf>
    <xf numFmtId="43" fontId="10" fillId="36" borderId="0" xfId="508" applyFont="1" applyFill="1" applyBorder="1" applyAlignment="1">
      <alignment vertical="center" shrinkToFit="1"/>
    </xf>
    <xf numFmtId="0" fontId="30" fillId="36" borderId="0" xfId="0" applyFont="1" applyFill="1" applyAlignment="1"/>
    <xf numFmtId="0" fontId="18" fillId="36" borderId="0" xfId="0" applyFont="1" applyFill="1" applyAlignment="1">
      <alignment horizontal="left" vertical="center" wrapText="1"/>
    </xf>
    <xf numFmtId="0" fontId="17" fillId="36" borderId="0" xfId="0" applyFont="1" applyFill="1">
      <alignment vertical="center"/>
    </xf>
    <xf numFmtId="0" fontId="7" fillId="0" borderId="0" xfId="0" applyFont="1" applyAlignment="1"/>
    <xf numFmtId="14" fontId="10" fillId="0" borderId="0" xfId="0" applyNumberFormat="1" applyFont="1" applyAlignment="1"/>
    <xf numFmtId="0" fontId="108" fillId="0" borderId="0" xfId="0" applyFont="1" applyAlignment="1"/>
    <xf numFmtId="0" fontId="109" fillId="39" borderId="17" xfId="374" applyFont="1" applyFill="1" applyBorder="1" applyAlignment="1" applyProtection="1">
      <alignment horizontal="center" vertical="center"/>
      <protection locked="0"/>
    </xf>
    <xf numFmtId="0" fontId="109" fillId="39" borderId="18" xfId="374" applyFont="1" applyFill="1" applyBorder="1" applyAlignment="1" applyProtection="1">
      <alignment horizontal="center" vertical="center"/>
      <protection locked="0"/>
    </xf>
    <xf numFmtId="0" fontId="110" fillId="36" borderId="0" xfId="0" applyFont="1" applyFill="1" applyAlignment="1">
      <alignment vertical="center" shrinkToFit="1"/>
    </xf>
    <xf numFmtId="219" fontId="8" fillId="0" borderId="19" xfId="0" applyNumberFormat="1" applyFont="1" applyBorder="1" applyAlignment="1">
      <alignment horizontal="left" vertical="center"/>
    </xf>
    <xf numFmtId="43" fontId="7" fillId="0" borderId="19" xfId="0" applyNumberFormat="1" applyFont="1" applyBorder="1" applyAlignment="1">
      <alignment horizontal="right" vertical="center"/>
    </xf>
    <xf numFmtId="0" fontId="84" fillId="0" borderId="0" xfId="0" applyFont="1">
      <alignment vertical="center"/>
    </xf>
    <xf numFmtId="43" fontId="86" fillId="0" borderId="0" xfId="0" applyNumberFormat="1" applyFont="1" applyAlignment="1">
      <alignment horizontal="right" vertical="center"/>
    </xf>
    <xf numFmtId="43" fontId="86" fillId="0" borderId="0" xfId="0" applyNumberFormat="1" applyFont="1">
      <alignment vertical="center"/>
    </xf>
    <xf numFmtId="49" fontId="84" fillId="0" borderId="0" xfId="0" applyNumberFormat="1" applyFont="1">
      <alignment vertical="center"/>
    </xf>
    <xf numFmtId="219" fontId="84" fillId="0" borderId="0" xfId="0" quotePrefix="1" applyNumberFormat="1" applyFont="1" applyAlignment="1">
      <alignment horizontal="right" vertical="center"/>
    </xf>
    <xf numFmtId="43" fontId="8" fillId="0" borderId="19" xfId="0" applyNumberFormat="1" applyFont="1" applyBorder="1" applyAlignment="1">
      <alignment horizontal="left" vertical="center"/>
    </xf>
    <xf numFmtId="43" fontId="8" fillId="0" borderId="0" xfId="508" applyFont="1" applyBorder="1" applyAlignment="1">
      <alignment horizontal="right" vertical="center"/>
    </xf>
    <xf numFmtId="0" fontId="111" fillId="36" borderId="0" xfId="0" applyFont="1" applyFill="1" applyAlignment="1">
      <alignment horizontal="center" vertical="center"/>
    </xf>
    <xf numFmtId="43" fontId="111" fillId="36" borderId="0" xfId="0" applyNumberFormat="1" applyFont="1" applyFill="1">
      <alignment vertical="center"/>
    </xf>
    <xf numFmtId="220" fontId="84" fillId="0" borderId="0" xfId="528" applyNumberFormat="1" applyFont="1" applyBorder="1" applyAlignment="1">
      <alignment horizontal="right" vertical="center"/>
    </xf>
    <xf numFmtId="222" fontId="84" fillId="0" borderId="0" xfId="528" applyNumberFormat="1" applyFont="1" applyBorder="1" applyAlignment="1">
      <alignment horizontal="right" vertical="center"/>
    </xf>
    <xf numFmtId="222" fontId="8" fillId="0" borderId="0" xfId="528" applyNumberFormat="1" applyFont="1" applyBorder="1" applyAlignment="1">
      <alignment horizontal="right" vertical="center"/>
    </xf>
    <xf numFmtId="221" fontId="23" fillId="39" borderId="0" xfId="0" applyNumberFormat="1" applyFont="1" applyFill="1" applyAlignment="1">
      <alignment horizontal="center" vertical="center"/>
    </xf>
    <xf numFmtId="222" fontId="84" fillId="0" borderId="0" xfId="0" applyNumberFormat="1" applyFont="1" applyAlignment="1">
      <alignment wrapText="1"/>
    </xf>
    <xf numFmtId="49" fontId="22" fillId="39" borderId="0" xfId="0" applyNumberFormat="1" applyFont="1" applyFill="1" applyAlignment="1">
      <alignment horizontal="center" vertical="center"/>
    </xf>
    <xf numFmtId="43" fontId="3" fillId="0" borderId="0" xfId="509" applyFont="1" applyAlignment="1" applyProtection="1">
      <protection locked="0"/>
    </xf>
    <xf numFmtId="43" fontId="109" fillId="39" borderId="20" xfId="509" applyFont="1" applyFill="1" applyBorder="1" applyAlignment="1" applyProtection="1">
      <alignment horizontal="center" vertical="center"/>
      <protection locked="0"/>
    </xf>
    <xf numFmtId="0" fontId="112" fillId="0" borderId="0" xfId="374" applyFont="1" applyAlignment="1" applyProtection="1">
      <protection locked="0"/>
    </xf>
    <xf numFmtId="0" fontId="33" fillId="0" borderId="0" xfId="0" applyFont="1">
      <alignment vertical="center"/>
    </xf>
    <xf numFmtId="0" fontId="10" fillId="0" borderId="0" xfId="374" applyFont="1" applyAlignment="1" applyProtection="1">
      <protection locked="0"/>
    </xf>
    <xf numFmtId="43" fontId="10" fillId="0" borderId="0" xfId="509" applyFont="1" applyBorder="1" applyAlignment="1" applyProtection="1">
      <protection locked="0"/>
    </xf>
    <xf numFmtId="0" fontId="18" fillId="0" borderId="0" xfId="374" applyFont="1" applyAlignment="1" applyProtection="1">
      <protection locked="0"/>
    </xf>
    <xf numFmtId="43" fontId="10" fillId="0" borderId="15" xfId="509" applyFont="1" applyBorder="1" applyAlignment="1" applyProtection="1">
      <alignment wrapText="1"/>
      <protection locked="0"/>
    </xf>
    <xf numFmtId="43" fontId="20" fillId="0" borderId="9" xfId="0" applyNumberFormat="1" applyFont="1" applyBorder="1" applyAlignment="1"/>
    <xf numFmtId="219" fontId="84" fillId="0" borderId="14" xfId="0" applyNumberFormat="1" applyFont="1" applyBorder="1" applyAlignment="1">
      <alignment horizontal="left" vertical="center"/>
    </xf>
    <xf numFmtId="219" fontId="23" fillId="0" borderId="14" xfId="0" quotePrefix="1" applyNumberFormat="1" applyFont="1" applyBorder="1" applyAlignment="1">
      <alignment horizontal="left" vertical="center"/>
    </xf>
    <xf numFmtId="43" fontId="22" fillId="0" borderId="9" xfId="0" applyNumberFormat="1" applyFont="1" applyBorder="1" applyAlignment="1"/>
    <xf numFmtId="219" fontId="113" fillId="39" borderId="17" xfId="0" quotePrefix="1" applyNumberFormat="1" applyFont="1" applyFill="1" applyBorder="1" applyAlignment="1">
      <alignment horizontal="center" vertical="center"/>
    </xf>
    <xf numFmtId="14" fontId="113" fillId="39" borderId="18" xfId="0" applyNumberFormat="1" applyFont="1" applyFill="1" applyBorder="1" applyAlignment="1">
      <alignment horizontal="center" vertical="center"/>
    </xf>
    <xf numFmtId="219" fontId="113" fillId="39" borderId="18" xfId="0" quotePrefix="1" applyNumberFormat="1" applyFont="1" applyFill="1" applyBorder="1" applyAlignment="1">
      <alignment horizontal="center" vertical="center"/>
    </xf>
    <xf numFmtId="14" fontId="113" fillId="39" borderId="20" xfId="0" applyNumberFormat="1" applyFont="1" applyFill="1" applyBorder="1" applyAlignment="1">
      <alignment horizontal="center" vertical="center"/>
    </xf>
    <xf numFmtId="219" fontId="95" fillId="0" borderId="14" xfId="0" applyNumberFormat="1" applyFont="1" applyBorder="1" applyAlignment="1">
      <alignment horizontal="left" vertical="center"/>
    </xf>
    <xf numFmtId="43" fontId="96" fillId="0" borderId="9" xfId="0" applyNumberFormat="1" applyFont="1" applyBorder="1" applyAlignment="1">
      <alignment horizontal="center" vertical="center"/>
    </xf>
    <xf numFmtId="219" fontId="95" fillId="0" borderId="9" xfId="0" applyNumberFormat="1" applyFont="1" applyBorder="1" applyAlignment="1">
      <alignment horizontal="left" vertical="center"/>
    </xf>
    <xf numFmtId="219" fontId="9" fillId="0" borderId="14" xfId="0" quotePrefix="1" applyNumberFormat="1" applyFont="1" applyBorder="1" applyAlignment="1">
      <alignment horizontal="left" vertical="center"/>
    </xf>
    <xf numFmtId="219" fontId="9" fillId="0" borderId="9" xfId="0" quotePrefix="1" applyNumberFormat="1" applyFont="1" applyBorder="1" applyAlignment="1">
      <alignment horizontal="left" vertical="center"/>
    </xf>
    <xf numFmtId="219" fontId="9" fillId="0" borderId="14" xfId="0" applyNumberFormat="1" applyFont="1" applyBorder="1" applyAlignment="1">
      <alignment horizontal="left" vertical="center"/>
    </xf>
    <xf numFmtId="0" fontId="9" fillId="0" borderId="9" xfId="0" applyFont="1" applyBorder="1" applyAlignment="1">
      <alignment horizontal="left" vertical="center"/>
    </xf>
    <xf numFmtId="219" fontId="9" fillId="0" borderId="9" xfId="0" applyNumberFormat="1" applyFont="1" applyBorder="1" applyAlignment="1">
      <alignment horizontal="left" vertical="center"/>
    </xf>
    <xf numFmtId="43" fontId="22" fillId="0" borderId="9" xfId="508" applyFont="1" applyBorder="1" applyAlignment="1"/>
    <xf numFmtId="43" fontId="20" fillId="0" borderId="9" xfId="508" applyFont="1" applyBorder="1" applyAlignment="1"/>
    <xf numFmtId="43" fontId="20" fillId="0" borderId="15" xfId="508" applyFont="1" applyBorder="1" applyAlignment="1"/>
    <xf numFmtId="43" fontId="20" fillId="0" borderId="9" xfId="508" applyFont="1" applyFill="1" applyBorder="1" applyAlignment="1"/>
    <xf numFmtId="14" fontId="114" fillId="39" borderId="18" xfId="0" applyNumberFormat="1" applyFont="1" applyFill="1" applyBorder="1" applyAlignment="1">
      <alignment horizontal="center" vertical="center" shrinkToFit="1"/>
    </xf>
    <xf numFmtId="14" fontId="114" fillId="39" borderId="20" xfId="0" applyNumberFormat="1" applyFont="1" applyFill="1" applyBorder="1" applyAlignment="1">
      <alignment horizontal="center" vertical="center" shrinkToFit="1"/>
    </xf>
    <xf numFmtId="0" fontId="22" fillId="36" borderId="9" xfId="0" applyFont="1" applyFill="1" applyBorder="1" applyAlignment="1">
      <alignment horizontal="center" vertical="center" shrinkToFit="1"/>
    </xf>
    <xf numFmtId="0" fontId="22" fillId="36" borderId="15" xfId="0" applyFont="1" applyFill="1" applyBorder="1" applyAlignment="1">
      <alignment horizontal="center" vertical="center" shrinkToFit="1"/>
    </xf>
    <xf numFmtId="0" fontId="115" fillId="0" borderId="14" xfId="0" applyFont="1" applyBorder="1" applyAlignment="1">
      <alignment horizontal="left" vertical="center" shrinkToFit="1"/>
    </xf>
    <xf numFmtId="0" fontId="115" fillId="0" borderId="14" xfId="0" applyFont="1" applyBorder="1" applyAlignment="1">
      <alignment horizontal="center" vertical="center" shrinkToFit="1"/>
    </xf>
    <xf numFmtId="0" fontId="22" fillId="39" borderId="18" xfId="0" applyFont="1" applyFill="1" applyBorder="1" applyAlignment="1">
      <alignment horizontal="center" vertical="center"/>
    </xf>
    <xf numFmtId="0" fontId="20" fillId="36" borderId="14" xfId="0" applyFont="1" applyFill="1" applyBorder="1" applyAlignment="1">
      <alignment horizontal="left" vertical="center"/>
    </xf>
    <xf numFmtId="49" fontId="20" fillId="36" borderId="14" xfId="0" applyNumberFormat="1" applyFont="1" applyFill="1" applyBorder="1" applyAlignment="1">
      <alignment horizontal="left" vertical="center"/>
    </xf>
    <xf numFmtId="0" fontId="22" fillId="36" borderId="14" xfId="392" applyFont="1" applyFill="1" applyBorder="1" applyAlignment="1">
      <alignment vertical="center" wrapText="1"/>
    </xf>
    <xf numFmtId="0" fontId="20" fillId="36" borderId="14" xfId="392" applyFont="1" applyFill="1" applyBorder="1" applyAlignment="1">
      <alignment vertical="center" wrapText="1"/>
    </xf>
    <xf numFmtId="0" fontId="20" fillId="36" borderId="2" xfId="0" applyFont="1" applyFill="1" applyBorder="1" applyAlignment="1">
      <alignment horizontal="left" vertical="center" wrapText="1"/>
    </xf>
    <xf numFmtId="0" fontId="20" fillId="36" borderId="0" xfId="392" applyFont="1" applyFill="1">
      <alignment vertical="center"/>
    </xf>
    <xf numFmtId="0" fontId="20" fillId="36" borderId="0" xfId="392" applyFont="1" applyFill="1" applyAlignment="1">
      <alignment horizontal="center" vertical="center"/>
    </xf>
    <xf numFmtId="0" fontId="20" fillId="36" borderId="0" xfId="392" applyFont="1" applyFill="1" applyAlignment="1">
      <alignment horizontal="right" vertical="center"/>
    </xf>
    <xf numFmtId="0" fontId="18" fillId="39" borderId="17" xfId="374" applyFont="1" applyFill="1" applyBorder="1" applyAlignment="1" applyProtection="1">
      <alignment horizontal="center" vertical="center"/>
      <protection locked="0"/>
    </xf>
    <xf numFmtId="0" fontId="18" fillId="39" borderId="18" xfId="374" applyFont="1" applyFill="1" applyBorder="1" applyAlignment="1" applyProtection="1">
      <alignment horizontal="center" vertical="center"/>
      <protection locked="0"/>
    </xf>
    <xf numFmtId="43" fontId="18" fillId="39" borderId="20" xfId="509" applyFont="1" applyFill="1" applyBorder="1" applyAlignment="1" applyProtection="1">
      <alignment horizontal="center" vertical="center"/>
      <protection locked="0"/>
    </xf>
    <xf numFmtId="0" fontId="29" fillId="0" borderId="21" xfId="0" applyFont="1" applyBorder="1">
      <alignment vertical="center"/>
    </xf>
    <xf numFmtId="0" fontId="18" fillId="0" borderId="9" xfId="374" applyFont="1" applyBorder="1" applyAlignment="1" applyProtection="1">
      <alignment horizontal="left" vertical="center"/>
      <protection locked="0"/>
    </xf>
    <xf numFmtId="0" fontId="29" fillId="0" borderId="14" xfId="0" applyFont="1" applyBorder="1">
      <alignment vertical="center"/>
    </xf>
    <xf numFmtId="0" fontId="29" fillId="0" borderId="9" xfId="0" applyFont="1" applyBorder="1" applyAlignment="1">
      <alignment vertical="center" wrapText="1"/>
    </xf>
    <xf numFmtId="0" fontId="18" fillId="0" borderId="14" xfId="0" applyFont="1" applyBorder="1">
      <alignment vertical="center"/>
    </xf>
    <xf numFmtId="0" fontId="12" fillId="0" borderId="9" xfId="374" applyFont="1" applyBorder="1" applyAlignment="1" applyProtection="1">
      <alignment horizontal="left" vertical="center"/>
      <protection locked="0"/>
    </xf>
    <xf numFmtId="0" fontId="98" fillId="0" borderId="22" xfId="0" applyFont="1" applyBorder="1">
      <alignment vertical="center"/>
    </xf>
    <xf numFmtId="0" fontId="12" fillId="0" borderId="16" xfId="374" applyFont="1" applyBorder="1" applyAlignment="1" applyProtection="1">
      <alignment horizontal="left" vertical="center"/>
      <protection locked="0"/>
    </xf>
    <xf numFmtId="0" fontId="10" fillId="36" borderId="2" xfId="0" applyFont="1" applyFill="1" applyBorder="1" applyAlignment="1">
      <alignment horizontal="right"/>
    </xf>
    <xf numFmtId="0" fontId="10" fillId="36" borderId="0" xfId="0" applyFont="1" applyFill="1" applyAlignment="1"/>
    <xf numFmtId="219" fontId="84" fillId="0" borderId="23" xfId="0" applyNumberFormat="1" applyFont="1" applyBorder="1" applyAlignment="1">
      <alignment horizontal="left" vertical="center"/>
    </xf>
    <xf numFmtId="43" fontId="20" fillId="0" borderId="24" xfId="0" applyNumberFormat="1" applyFont="1" applyBorder="1" applyAlignment="1"/>
    <xf numFmtId="0" fontId="4" fillId="0" borderId="2" xfId="0" applyFont="1" applyBorder="1">
      <alignment vertical="center"/>
    </xf>
    <xf numFmtId="49" fontId="20" fillId="36" borderId="14" xfId="0" applyNumberFormat="1" applyFont="1" applyFill="1" applyBorder="1" applyAlignment="1">
      <alignment horizontal="left" vertical="center" wrapText="1"/>
    </xf>
    <xf numFmtId="0" fontId="28" fillId="0" borderId="14" xfId="0" applyFont="1" applyBorder="1" applyAlignment="1">
      <alignment vertical="center" wrapText="1"/>
    </xf>
    <xf numFmtId="0" fontId="22" fillId="39" borderId="20" xfId="0" applyFont="1" applyFill="1" applyBorder="1" applyAlignment="1">
      <alignment horizontal="center" vertical="center"/>
    </xf>
    <xf numFmtId="43" fontId="84" fillId="0" borderId="14" xfId="508" quotePrefix="1" applyFont="1" applyBorder="1" applyAlignment="1">
      <alignment vertical="center"/>
    </xf>
    <xf numFmtId="43" fontId="84" fillId="0" borderId="14" xfId="508" applyFont="1" applyBorder="1" applyAlignment="1">
      <alignment vertical="center"/>
    </xf>
    <xf numFmtId="219" fontId="84" fillId="0" borderId="14" xfId="0" quotePrefix="1" applyNumberFormat="1" applyFont="1" applyBorder="1" applyAlignment="1">
      <alignment horizontal="left" vertical="center"/>
    </xf>
    <xf numFmtId="219" fontId="84" fillId="0" borderId="23" xfId="0" quotePrefix="1" applyNumberFormat="1" applyFont="1" applyBorder="1" applyAlignment="1">
      <alignment horizontal="left" vertical="center"/>
    </xf>
    <xf numFmtId="43" fontId="20" fillId="0" borderId="25" xfId="508" applyFont="1" applyBorder="1" applyAlignment="1"/>
    <xf numFmtId="219" fontId="84" fillId="0" borderId="19" xfId="0" applyNumberFormat="1" applyFont="1" applyBorder="1">
      <alignment vertical="center"/>
    </xf>
    <xf numFmtId="43" fontId="20" fillId="0" borderId="9" xfId="0" applyNumberFormat="1" applyFont="1" applyBorder="1" applyAlignment="1">
      <alignment horizontal="right"/>
    </xf>
    <xf numFmtId="43" fontId="20" fillId="0" borderId="9" xfId="0" applyNumberFormat="1" applyFont="1" applyBorder="1" applyAlignment="1">
      <alignment horizontal="center" vertical="center"/>
    </xf>
    <xf numFmtId="43" fontId="20" fillId="0" borderId="15" xfId="0" applyNumberFormat="1" applyFont="1" applyBorder="1" applyAlignment="1">
      <alignment horizontal="right"/>
    </xf>
    <xf numFmtId="43" fontId="116" fillId="0" borderId="0" xfId="0" applyNumberFormat="1" applyFont="1" applyAlignment="1">
      <alignment horizontal="right" vertical="center"/>
    </xf>
    <xf numFmtId="0" fontId="117" fillId="0" borderId="0" xfId="0" applyFont="1" applyAlignment="1">
      <alignment horizontal="right" vertical="center"/>
    </xf>
    <xf numFmtId="219" fontId="95" fillId="39" borderId="17" xfId="0" quotePrefix="1" applyNumberFormat="1" applyFont="1" applyFill="1" applyBorder="1" applyAlignment="1">
      <alignment horizontal="center" vertical="center"/>
    </xf>
    <xf numFmtId="43" fontId="95" fillId="39" borderId="18" xfId="508" applyFont="1" applyFill="1" applyBorder="1" applyAlignment="1">
      <alignment horizontal="center" vertical="center"/>
    </xf>
    <xf numFmtId="43" fontId="95" fillId="39" borderId="20" xfId="508" applyFont="1" applyFill="1" applyBorder="1" applyAlignment="1">
      <alignment horizontal="center" vertical="center"/>
    </xf>
    <xf numFmtId="0" fontId="118" fillId="39" borderId="9" xfId="0" applyFont="1" applyFill="1" applyBorder="1" applyAlignment="1">
      <alignment horizontal="center" vertical="center" wrapText="1"/>
    </xf>
    <xf numFmtId="219" fontId="95" fillId="0" borderId="14" xfId="0" quotePrefix="1" applyNumberFormat="1" applyFont="1" applyBorder="1" applyAlignment="1">
      <alignment horizontal="left" vertical="center"/>
    </xf>
    <xf numFmtId="43" fontId="20" fillId="0" borderId="15" xfId="0" applyNumberFormat="1" applyFont="1" applyBorder="1" applyAlignment="1">
      <alignment horizontal="center" vertical="center"/>
    </xf>
    <xf numFmtId="43" fontId="96" fillId="0" borderId="15" xfId="0" applyNumberFormat="1" applyFont="1" applyBorder="1" applyAlignment="1">
      <alignment horizontal="center" vertical="center"/>
    </xf>
    <xf numFmtId="219" fontId="84" fillId="0" borderId="26" xfId="0" applyNumberFormat="1" applyFont="1" applyBorder="1" applyAlignment="1">
      <alignment horizontal="left" vertical="center"/>
    </xf>
    <xf numFmtId="43" fontId="20" fillId="0" borderId="15" xfId="0" applyNumberFormat="1" applyFont="1" applyBorder="1" applyAlignment="1">
      <alignment horizontal="center"/>
    </xf>
    <xf numFmtId="0" fontId="3" fillId="0" borderId="1" xfId="374" applyFont="1" applyBorder="1" applyAlignment="1" applyProtection="1">
      <alignment wrapText="1"/>
      <protection locked="0"/>
    </xf>
    <xf numFmtId="0" fontId="3" fillId="0" borderId="1" xfId="374" applyFont="1" applyBorder="1" applyAlignment="1" applyProtection="1">
      <protection locked="0"/>
    </xf>
    <xf numFmtId="0" fontId="3" fillId="0" borderId="1" xfId="374" applyFont="1" applyBorder="1" applyAlignment="1" applyProtection="1">
      <alignment vertical="center" wrapText="1"/>
      <protection locked="0"/>
    </xf>
    <xf numFmtId="0" fontId="3" fillId="0" borderId="1" xfId="380" applyFont="1" applyBorder="1" applyAlignment="1" applyProtection="1">
      <alignment horizontal="left" vertical="center" wrapText="1"/>
      <protection locked="0"/>
    </xf>
    <xf numFmtId="0" fontId="8" fillId="0" borderId="1" xfId="374" applyFont="1" applyBorder="1" applyAlignment="1" applyProtection="1">
      <alignment horizontal="left" vertical="center" wrapText="1"/>
      <protection locked="0"/>
    </xf>
    <xf numFmtId="0" fontId="18" fillId="0" borderId="9" xfId="374" applyFont="1" applyBorder="1" applyAlignment="1" applyProtection="1">
      <alignment horizontal="left" vertical="center" wrapText="1"/>
      <protection locked="0"/>
    </xf>
    <xf numFmtId="0" fontId="83" fillId="0" borderId="0" xfId="0" applyFont="1" applyAlignment="1"/>
    <xf numFmtId="0" fontId="7" fillId="0" borderId="0" xfId="0" applyFont="1" applyAlignment="1">
      <alignment horizontal="center"/>
    </xf>
    <xf numFmtId="43" fontId="22" fillId="0" borderId="15" xfId="508" applyFont="1" applyBorder="1" applyAlignment="1"/>
    <xf numFmtId="0" fontId="10" fillId="36" borderId="0" xfId="0" applyFont="1" applyFill="1" applyAlignment="1">
      <alignment vertical="center" wrapText="1"/>
    </xf>
    <xf numFmtId="222" fontId="84" fillId="0" borderId="0" xfId="508" applyNumberFormat="1" applyFont="1" applyBorder="1" applyAlignment="1">
      <alignment horizontal="right" vertical="center"/>
    </xf>
    <xf numFmtId="0" fontId="21" fillId="0" borderId="0" xfId="0" applyFont="1">
      <alignment vertical="center"/>
    </xf>
    <xf numFmtId="220" fontId="20" fillId="0" borderId="0" xfId="531" applyNumberFormat="1" applyFont="1" applyBorder="1" applyAlignment="1">
      <alignment horizontal="right" vertical="center"/>
    </xf>
    <xf numFmtId="0" fontId="20" fillId="0" borderId="0" xfId="0" applyFont="1">
      <alignment vertical="center"/>
    </xf>
    <xf numFmtId="220" fontId="20" fillId="0" borderId="0" xfId="0" applyNumberFormat="1" applyFont="1" applyAlignment="1">
      <alignment horizontal="right" vertical="center"/>
    </xf>
    <xf numFmtId="222" fontId="84" fillId="0" borderId="0" xfId="0" applyNumberFormat="1" applyFont="1" applyAlignment="1">
      <alignment vertical="center" wrapText="1"/>
    </xf>
    <xf numFmtId="220" fontId="84" fillId="0" borderId="0" xfId="0" applyNumberFormat="1" applyFont="1" applyAlignment="1">
      <alignment horizontal="right" vertical="center"/>
    </xf>
    <xf numFmtId="220" fontId="20" fillId="0" borderId="0" xfId="391" quotePrefix="1" applyNumberFormat="1" applyFont="1" applyAlignment="1">
      <alignment horizontal="right" vertical="center"/>
    </xf>
    <xf numFmtId="222" fontId="28" fillId="0" borderId="0" xfId="0" applyNumberFormat="1" applyFont="1" applyAlignment="1">
      <alignment vertical="center" wrapText="1"/>
    </xf>
    <xf numFmtId="220" fontId="8" fillId="0" borderId="0" xfId="528" applyNumberFormat="1" applyFont="1" applyBorder="1" applyAlignment="1">
      <alignment horizontal="right" vertical="center"/>
    </xf>
    <xf numFmtId="220" fontId="20" fillId="0" borderId="0" xfId="391" applyNumberFormat="1" applyFont="1" applyAlignment="1">
      <alignment horizontal="right" vertical="center"/>
    </xf>
    <xf numFmtId="222" fontId="23" fillId="39" borderId="0" xfId="0" applyNumberFormat="1" applyFont="1" applyFill="1" applyAlignment="1">
      <alignment vertical="center" wrapText="1"/>
    </xf>
    <xf numFmtId="221" fontId="84" fillId="0" borderId="0" xfId="0" applyNumberFormat="1" applyFont="1" applyAlignment="1">
      <alignment horizontal="center" vertical="center"/>
    </xf>
    <xf numFmtId="222" fontId="22" fillId="39" borderId="0" xfId="0" applyNumberFormat="1" applyFont="1" applyFill="1">
      <alignment vertical="center"/>
    </xf>
    <xf numFmtId="222" fontId="84" fillId="0" borderId="0" xfId="0" applyNumberFormat="1" applyFont="1" applyAlignment="1">
      <alignment horizontal="left" vertical="center" wrapText="1"/>
    </xf>
    <xf numFmtId="221" fontId="84" fillId="0" borderId="0" xfId="508" applyNumberFormat="1" applyFont="1" applyBorder="1" applyAlignment="1">
      <alignment horizontal="right" vertical="center"/>
    </xf>
    <xf numFmtId="221" fontId="20" fillId="0" borderId="0" xfId="391" applyNumberFormat="1" applyFont="1" applyAlignment="1">
      <alignment vertical="center"/>
    </xf>
    <xf numFmtId="222" fontId="23" fillId="0" borderId="0" xfId="0" applyNumberFormat="1" applyFont="1" applyAlignment="1">
      <alignment horizontal="left" vertical="center" wrapText="1"/>
    </xf>
    <xf numFmtId="221" fontId="23" fillId="0" borderId="0" xfId="508" applyNumberFormat="1" applyFont="1" applyBorder="1" applyAlignment="1">
      <alignment horizontal="right" vertical="center"/>
    </xf>
    <xf numFmtId="221" fontId="22" fillId="0" borderId="0" xfId="391" applyNumberFormat="1" applyFont="1" applyAlignment="1">
      <alignment vertical="center"/>
    </xf>
    <xf numFmtId="222" fontId="23" fillId="0" borderId="0" xfId="0" applyNumberFormat="1" applyFont="1" applyAlignment="1">
      <alignment vertical="center" wrapText="1"/>
    </xf>
    <xf numFmtId="221" fontId="20" fillId="0" borderId="0" xfId="391" applyNumberFormat="1" applyFont="1" applyAlignment="1">
      <alignment horizontal="left" vertical="center" wrapText="1"/>
    </xf>
    <xf numFmtId="221" fontId="20" fillId="0" borderId="0" xfId="391" applyNumberFormat="1" applyFont="1" applyAlignment="1">
      <alignment vertical="center" wrapText="1"/>
    </xf>
    <xf numFmtId="221" fontId="84" fillId="0" borderId="0" xfId="508" applyNumberFormat="1" applyFont="1" applyBorder="1" applyAlignment="1">
      <alignment vertical="center"/>
    </xf>
    <xf numFmtId="221" fontId="84" fillId="0" borderId="0" xfId="0" applyNumberFormat="1" applyFont="1">
      <alignment vertical="center"/>
    </xf>
    <xf numFmtId="221" fontId="20" fillId="0" borderId="0" xfId="0" applyNumberFormat="1" applyFont="1">
      <alignment vertical="center"/>
    </xf>
    <xf numFmtId="221" fontId="84" fillId="0" borderId="0" xfId="0" applyNumberFormat="1" applyFont="1" applyAlignment="1">
      <alignment horizontal="right" vertical="center"/>
    </xf>
    <xf numFmtId="222" fontId="8" fillId="0" borderId="0" xfId="0" applyNumberFormat="1" applyFont="1" applyAlignment="1">
      <alignment horizontal="right" vertical="center"/>
    </xf>
    <xf numFmtId="222" fontId="84" fillId="0" borderId="0" xfId="0" applyNumberFormat="1" applyFont="1" applyAlignment="1">
      <alignment horizontal="right" vertical="center"/>
    </xf>
    <xf numFmtId="0" fontId="22" fillId="0" borderId="0" xfId="0" applyFont="1">
      <alignment vertical="center"/>
    </xf>
    <xf numFmtId="0" fontId="8" fillId="0" borderId="0" xfId="0" applyFont="1" applyAlignment="1">
      <alignment vertical="center" wrapText="1"/>
    </xf>
    <xf numFmtId="0" fontId="8" fillId="0" borderId="0" xfId="0" applyFont="1" applyAlignment="1">
      <alignment horizontal="left" vertical="center"/>
    </xf>
    <xf numFmtId="220" fontId="20" fillId="0" borderId="0" xfId="0" applyNumberFormat="1" applyFont="1" applyAlignment="1">
      <alignment horizontal="left" vertical="center"/>
    </xf>
    <xf numFmtId="220" fontId="8" fillId="0" borderId="0" xfId="0" applyNumberFormat="1" applyFont="1" applyAlignment="1">
      <alignment horizontal="right" vertical="center"/>
    </xf>
    <xf numFmtId="43" fontId="20" fillId="0" borderId="0" xfId="508" applyFont="1" applyBorder="1" applyAlignment="1">
      <alignment horizontal="right" vertical="center"/>
    </xf>
    <xf numFmtId="43" fontId="22" fillId="0" borderId="3" xfId="508" applyFont="1" applyBorder="1" applyAlignment="1">
      <alignment horizontal="right" vertical="center"/>
    </xf>
    <xf numFmtId="43" fontId="20" fillId="0" borderId="0" xfId="508" applyFont="1" applyBorder="1" applyAlignment="1">
      <alignment vertical="center"/>
    </xf>
    <xf numFmtId="43" fontId="20" fillId="0" borderId="0" xfId="508" applyFont="1" applyFill="1" applyBorder="1" applyAlignment="1">
      <alignment horizontal="left" vertical="center" wrapText="1"/>
    </xf>
    <xf numFmtId="43" fontId="10" fillId="0" borderId="0" xfId="508" applyFont="1" applyFill="1" applyBorder="1" applyAlignment="1">
      <alignment horizontal="right" vertical="center"/>
    </xf>
    <xf numFmtId="0" fontId="10" fillId="0" borderId="0" xfId="0" applyFont="1" applyAlignment="1">
      <alignment vertical="center" wrapText="1"/>
    </xf>
    <xf numFmtId="220" fontId="10" fillId="0" borderId="0" xfId="0" applyNumberFormat="1" applyFont="1" applyAlignment="1">
      <alignment horizontal="right" vertical="center"/>
    </xf>
    <xf numFmtId="222" fontId="10" fillId="0" borderId="0" xfId="0" applyNumberFormat="1" applyFont="1" applyAlignment="1">
      <alignment horizontal="right" vertical="center"/>
    </xf>
    <xf numFmtId="0" fontId="10" fillId="0" borderId="0" xfId="0" applyFont="1">
      <alignment vertical="center"/>
    </xf>
    <xf numFmtId="0" fontId="119" fillId="0" borderId="0" xfId="0" applyFont="1" applyAlignment="1">
      <alignment vertical="center" wrapText="1"/>
    </xf>
    <xf numFmtId="220" fontId="119" fillId="0" borderId="0" xfId="0" applyNumberFormat="1" applyFont="1" applyAlignment="1">
      <alignment horizontal="right" vertical="center"/>
    </xf>
    <xf numFmtId="222" fontId="119" fillId="0" borderId="0" xfId="0" applyNumberFormat="1" applyFont="1" applyAlignment="1">
      <alignment horizontal="right" vertical="center"/>
    </xf>
    <xf numFmtId="0" fontId="119" fillId="0" borderId="0" xfId="0" applyFont="1">
      <alignment vertical="center"/>
    </xf>
    <xf numFmtId="43" fontId="119" fillId="0" borderId="0" xfId="0" applyNumberFormat="1" applyFont="1">
      <alignment vertical="center"/>
    </xf>
    <xf numFmtId="0" fontId="119" fillId="0" borderId="0" xfId="0" applyFont="1" applyAlignment="1"/>
    <xf numFmtId="0" fontId="8" fillId="0" borderId="0" xfId="0" applyFont="1" applyAlignment="1">
      <alignment wrapText="1"/>
    </xf>
    <xf numFmtId="43" fontId="7" fillId="0" borderId="0" xfId="0" applyNumberFormat="1" applyFont="1" applyAlignment="1"/>
    <xf numFmtId="0" fontId="19" fillId="0" borderId="0" xfId="0" applyFont="1" applyAlignment="1"/>
    <xf numFmtId="43" fontId="120" fillId="0" borderId="0" xfId="509" applyFont="1" applyBorder="1" applyAlignment="1" applyProtection="1">
      <protection locked="0"/>
    </xf>
    <xf numFmtId="0" fontId="119" fillId="36" borderId="0" xfId="392" applyFont="1" applyFill="1" applyAlignment="1">
      <alignment vertical="center" wrapText="1"/>
    </xf>
    <xf numFmtId="0" fontId="119" fillId="36" borderId="0" xfId="392" applyFont="1" applyFill="1">
      <alignment vertical="center"/>
    </xf>
    <xf numFmtId="43" fontId="119" fillId="36" borderId="0" xfId="392" applyNumberFormat="1" applyFont="1" applyFill="1">
      <alignment vertical="center"/>
    </xf>
    <xf numFmtId="43" fontId="10" fillId="40" borderId="15" xfId="509" applyFont="1" applyFill="1" applyBorder="1" applyAlignment="1" applyProtection="1">
      <protection hidden="1"/>
    </xf>
    <xf numFmtId="43" fontId="10" fillId="40" borderId="15" xfId="509" applyFont="1" applyFill="1" applyBorder="1" applyAlignment="1" applyProtection="1">
      <protection locked="0"/>
    </xf>
    <xf numFmtId="43" fontId="3" fillId="0" borderId="0" xfId="509" applyFont="1" applyFill="1" applyAlignment="1" applyProtection="1">
      <alignment horizontal="right"/>
      <protection locked="0"/>
    </xf>
    <xf numFmtId="43" fontId="10" fillId="40" borderId="15" xfId="508" applyFont="1" applyFill="1" applyBorder="1" applyAlignment="1">
      <alignment horizontal="right"/>
    </xf>
    <xf numFmtId="43" fontId="110" fillId="40" borderId="27" xfId="508" applyFont="1" applyFill="1" applyBorder="1" applyAlignment="1">
      <alignment horizontal="right"/>
    </xf>
    <xf numFmtId="43" fontId="10" fillId="40" borderId="9" xfId="508" applyFont="1" applyFill="1" applyBorder="1" applyAlignment="1">
      <alignment horizontal="right"/>
    </xf>
    <xf numFmtId="43" fontId="110" fillId="40" borderId="16" xfId="508" applyFont="1" applyFill="1" applyBorder="1" applyAlignment="1">
      <alignment horizontal="right"/>
    </xf>
    <xf numFmtId="0" fontId="109" fillId="40" borderId="22" xfId="0" applyFont="1" applyFill="1" applyBorder="1" applyAlignment="1">
      <alignment vertical="center" wrapText="1"/>
    </xf>
    <xf numFmtId="43" fontId="22" fillId="40" borderId="3" xfId="508" applyFont="1" applyFill="1" applyBorder="1" applyAlignment="1">
      <alignment horizontal="right" vertical="center"/>
    </xf>
    <xf numFmtId="43" fontId="22" fillId="40" borderId="6" xfId="508" applyFont="1" applyFill="1" applyBorder="1" applyAlignment="1">
      <alignment horizontal="right" vertical="center"/>
    </xf>
    <xf numFmtId="43" fontId="20" fillId="40" borderId="0" xfId="508" applyFont="1" applyFill="1" applyBorder="1" applyAlignment="1">
      <alignment vertical="center"/>
    </xf>
    <xf numFmtId="43" fontId="20" fillId="40" borderId="0" xfId="508" applyFont="1" applyFill="1" applyBorder="1" applyAlignment="1">
      <alignment horizontal="right" vertical="center"/>
    </xf>
    <xf numFmtId="43" fontId="22" fillId="40" borderId="0" xfId="508" applyFont="1" applyFill="1" applyBorder="1" applyAlignment="1">
      <alignment horizontal="right" vertical="center"/>
    </xf>
    <xf numFmtId="43" fontId="22" fillId="40" borderId="3" xfId="508" applyFont="1" applyFill="1" applyBorder="1" applyAlignment="1">
      <alignment vertical="center"/>
    </xf>
    <xf numFmtId="219" fontId="23" fillId="40" borderId="26" xfId="0" quotePrefix="1" applyNumberFormat="1" applyFont="1" applyFill="1" applyBorder="1" applyAlignment="1">
      <alignment horizontal="left" vertical="center"/>
    </xf>
    <xf numFmtId="219" fontId="23" fillId="40" borderId="14" xfId="0" quotePrefix="1" applyNumberFormat="1" applyFont="1" applyFill="1" applyBorder="1" applyAlignment="1">
      <alignment horizontal="left" vertical="center"/>
    </xf>
    <xf numFmtId="43" fontId="20" fillId="40" borderId="9" xfId="0" applyNumberFormat="1" applyFont="1" applyFill="1" applyBorder="1" applyAlignment="1"/>
    <xf numFmtId="43" fontId="20" fillId="40" borderId="15" xfId="0" applyNumberFormat="1" applyFont="1" applyFill="1" applyBorder="1" applyAlignment="1"/>
    <xf numFmtId="219" fontId="23" fillId="40" borderId="23" xfId="0" quotePrefix="1" applyNumberFormat="1" applyFont="1" applyFill="1" applyBorder="1" applyAlignment="1">
      <alignment horizontal="left" vertical="center"/>
    </xf>
    <xf numFmtId="43" fontId="22" fillId="40" borderId="9" xfId="508" applyFont="1" applyFill="1" applyBorder="1" applyAlignment="1"/>
    <xf numFmtId="43" fontId="22" fillId="40" borderId="9" xfId="0" applyNumberFormat="1" applyFont="1" applyFill="1" applyBorder="1" applyAlignment="1"/>
    <xf numFmtId="43" fontId="22" fillId="40" borderId="24" xfId="0" applyNumberFormat="1" applyFont="1" applyFill="1" applyBorder="1" applyAlignment="1"/>
    <xf numFmtId="219" fontId="23" fillId="40" borderId="22" xfId="0" quotePrefix="1" applyNumberFormat="1" applyFont="1" applyFill="1" applyBorder="1" applyAlignment="1">
      <alignment horizontal="left" vertical="center"/>
    </xf>
    <xf numFmtId="43" fontId="22" fillId="40" borderId="16" xfId="0" applyNumberFormat="1" applyFont="1" applyFill="1" applyBorder="1" applyAlignment="1"/>
    <xf numFmtId="43" fontId="22" fillId="40" borderId="27" xfId="508" applyFont="1" applyFill="1" applyBorder="1" applyAlignment="1"/>
    <xf numFmtId="219" fontId="95" fillId="40" borderId="14" xfId="0" quotePrefix="1" applyNumberFormat="1" applyFont="1" applyFill="1" applyBorder="1" applyAlignment="1">
      <alignment horizontal="left" vertical="center"/>
    </xf>
    <xf numFmtId="219" fontId="95" fillId="40" borderId="9" xfId="0" applyNumberFormat="1" applyFont="1" applyFill="1" applyBorder="1" applyAlignment="1">
      <alignment horizontal="left" vertical="center"/>
    </xf>
    <xf numFmtId="219" fontId="95" fillId="40" borderId="9" xfId="0" quotePrefix="1" applyNumberFormat="1" applyFont="1" applyFill="1" applyBorder="1" applyAlignment="1">
      <alignment horizontal="center" vertical="center"/>
    </xf>
    <xf numFmtId="219" fontId="95" fillId="40" borderId="14" xfId="0" applyNumberFormat="1" applyFont="1" applyFill="1" applyBorder="1" applyAlignment="1">
      <alignment horizontal="left" vertical="center"/>
    </xf>
    <xf numFmtId="219" fontId="95" fillId="40" borderId="9" xfId="0" applyNumberFormat="1" applyFont="1" applyFill="1" applyBorder="1" applyAlignment="1">
      <alignment horizontal="center" vertical="center"/>
    </xf>
    <xf numFmtId="43" fontId="113" fillId="40" borderId="22" xfId="0" applyNumberFormat="1" applyFont="1" applyFill="1" applyBorder="1" applyAlignment="1">
      <alignment horizontal="center" vertical="center"/>
    </xf>
    <xf numFmtId="43" fontId="114" fillId="40" borderId="16" xfId="0" applyNumberFormat="1" applyFont="1" applyFill="1" applyBorder="1" applyAlignment="1"/>
    <xf numFmtId="219" fontId="113" fillId="40" borderId="16" xfId="0" quotePrefix="1" applyNumberFormat="1" applyFont="1" applyFill="1" applyBorder="1" applyAlignment="1">
      <alignment horizontal="center" vertical="center"/>
    </xf>
    <xf numFmtId="43" fontId="114" fillId="40" borderId="27" xfId="0" applyNumberFormat="1" applyFont="1" applyFill="1" applyBorder="1" applyAlignment="1"/>
    <xf numFmtId="43" fontId="22" fillId="40" borderId="9" xfId="0" applyNumberFormat="1" applyFont="1" applyFill="1" applyBorder="1" applyAlignment="1">
      <alignment horizontal="right"/>
    </xf>
    <xf numFmtId="43" fontId="22" fillId="40" borderId="15" xfId="0" applyNumberFormat="1" applyFont="1" applyFill="1" applyBorder="1" applyAlignment="1">
      <alignment horizontal="right"/>
    </xf>
    <xf numFmtId="43" fontId="18" fillId="40" borderId="15" xfId="509" applyFont="1" applyFill="1" applyBorder="1" applyAlignment="1" applyProtection="1">
      <protection hidden="1"/>
    </xf>
    <xf numFmtId="43" fontId="18" fillId="40" borderId="15" xfId="509" applyFont="1" applyFill="1" applyBorder="1" applyAlignment="1" applyProtection="1">
      <protection locked="0"/>
    </xf>
    <xf numFmtId="43" fontId="18" fillId="40" borderId="15" xfId="508" applyFont="1" applyFill="1" applyBorder="1" applyAlignment="1" applyProtection="1">
      <protection locked="0"/>
    </xf>
    <xf numFmtId="43" fontId="12" fillId="40" borderId="27" xfId="509" applyFont="1" applyFill="1" applyBorder="1" applyAlignment="1" applyProtection="1">
      <protection locked="0"/>
    </xf>
    <xf numFmtId="0" fontId="97" fillId="0" borderId="14" xfId="392" applyFont="1" applyBorder="1" applyAlignment="1">
      <alignment horizontal="left" vertical="center" wrapText="1"/>
    </xf>
    <xf numFmtId="0" fontId="20" fillId="0" borderId="14" xfId="392" applyFont="1" applyBorder="1" applyAlignment="1">
      <alignment horizontal="left" vertical="center" wrapText="1"/>
    </xf>
    <xf numFmtId="0" fontId="99" fillId="0" borderId="14" xfId="392" applyFont="1" applyBorder="1" applyAlignment="1">
      <alignment horizontal="left" vertical="center" wrapText="1"/>
    </xf>
    <xf numFmtId="0" fontId="20" fillId="0" borderId="14" xfId="392" applyFont="1" applyBorder="1" applyAlignment="1">
      <alignment vertical="center" wrapText="1"/>
    </xf>
    <xf numFmtId="0" fontId="115" fillId="40" borderId="22" xfId="392" applyFont="1" applyFill="1" applyBorder="1" applyAlignment="1">
      <alignment vertical="center" wrapText="1"/>
    </xf>
    <xf numFmtId="43" fontId="20" fillId="40" borderId="9" xfId="508" applyFont="1" applyFill="1" applyBorder="1" applyAlignment="1"/>
    <xf numFmtId="43" fontId="20" fillId="40" borderId="15" xfId="508" applyFont="1" applyFill="1" applyBorder="1" applyAlignment="1"/>
    <xf numFmtId="43" fontId="20" fillId="40" borderId="9" xfId="508" applyFont="1" applyFill="1" applyBorder="1" applyAlignment="1">
      <alignment shrinkToFit="1"/>
    </xf>
    <xf numFmtId="0" fontId="119" fillId="36" borderId="0" xfId="0" applyFont="1" applyFill="1" applyAlignment="1">
      <alignment horizontal="left" vertical="center"/>
    </xf>
    <xf numFmtId="0" fontId="119" fillId="36" borderId="0" xfId="0" applyFont="1" applyFill="1">
      <alignment vertical="center"/>
    </xf>
    <xf numFmtId="43" fontId="119" fillId="36" borderId="0" xfId="0" applyNumberFormat="1" applyFont="1" applyFill="1">
      <alignment vertical="center"/>
    </xf>
    <xf numFmtId="0" fontId="22" fillId="40" borderId="14" xfId="0" applyFont="1" applyFill="1" applyBorder="1" applyAlignment="1">
      <alignment horizontal="left" vertical="center"/>
    </xf>
    <xf numFmtId="49" fontId="22" fillId="40" borderId="14" xfId="0" applyNumberFormat="1" applyFont="1" applyFill="1" applyBorder="1" applyAlignment="1">
      <alignment horizontal="left" vertical="center"/>
    </xf>
    <xf numFmtId="43" fontId="22" fillId="40" borderId="9" xfId="508" applyFont="1" applyFill="1" applyBorder="1" applyAlignment="1">
      <alignment shrinkToFit="1"/>
    </xf>
    <xf numFmtId="43" fontId="22" fillId="40" borderId="15" xfId="508" applyFont="1" applyFill="1" applyBorder="1" applyAlignment="1">
      <alignment shrinkToFit="1"/>
    </xf>
    <xf numFmtId="43" fontId="22" fillId="40" borderId="16" xfId="508" applyFont="1" applyFill="1" applyBorder="1" applyAlignment="1">
      <alignment shrinkToFit="1"/>
    </xf>
    <xf numFmtId="43" fontId="22" fillId="40" borderId="27" xfId="508" applyFont="1" applyFill="1" applyBorder="1" applyAlignment="1">
      <alignment shrinkToFit="1"/>
    </xf>
    <xf numFmtId="43" fontId="22" fillId="40" borderId="22" xfId="508" applyFont="1" applyFill="1" applyBorder="1" applyAlignment="1">
      <alignment shrinkToFit="1"/>
    </xf>
    <xf numFmtId="0" fontId="20" fillId="36" borderId="19" xfId="0" applyFont="1" applyFill="1" applyBorder="1" applyAlignment="1">
      <alignment wrapText="1"/>
    </xf>
    <xf numFmtId="43" fontId="115" fillId="40" borderId="16" xfId="508" applyFont="1" applyFill="1" applyBorder="1" applyAlignment="1">
      <alignment shrinkToFit="1"/>
    </xf>
    <xf numFmtId="43" fontId="115" fillId="40" borderId="16" xfId="0" applyNumberFormat="1" applyFont="1" applyFill="1" applyBorder="1" applyAlignment="1"/>
    <xf numFmtId="43" fontId="115" fillId="40" borderId="27" xfId="0" applyNumberFormat="1" applyFont="1" applyFill="1" applyBorder="1" applyAlignment="1"/>
    <xf numFmtId="43" fontId="22" fillId="40" borderId="15" xfId="0" applyNumberFormat="1" applyFont="1" applyFill="1" applyBorder="1" applyAlignment="1"/>
    <xf numFmtId="43" fontId="20" fillId="0" borderId="0" xfId="508" applyFont="1" applyFill="1" applyBorder="1" applyAlignment="1">
      <alignment vertical="center"/>
    </xf>
    <xf numFmtId="0" fontId="22" fillId="39" borderId="9" xfId="392" applyFont="1" applyFill="1" applyBorder="1" applyAlignment="1">
      <alignment horizontal="center" vertical="center" wrapText="1"/>
    </xf>
    <xf numFmtId="43" fontId="22" fillId="40" borderId="25" xfId="508" applyFont="1" applyFill="1" applyBorder="1" applyAlignment="1"/>
    <xf numFmtId="43" fontId="20" fillId="40" borderId="15" xfId="508" applyFont="1" applyFill="1" applyBorder="1" applyAlignment="1">
      <alignment shrinkToFit="1"/>
    </xf>
    <xf numFmtId="43" fontId="22" fillId="40" borderId="2" xfId="508" applyFont="1" applyFill="1" applyBorder="1" applyAlignment="1">
      <alignment horizontal="right" vertical="center"/>
    </xf>
    <xf numFmtId="43" fontId="27" fillId="40" borderId="28" xfId="508" applyFont="1" applyFill="1" applyBorder="1" applyAlignment="1">
      <alignment horizontal="right"/>
    </xf>
    <xf numFmtId="43" fontId="27" fillId="40" borderId="29" xfId="508" applyFont="1" applyFill="1" applyBorder="1" applyAlignment="1">
      <alignment horizontal="right"/>
    </xf>
    <xf numFmtId="43" fontId="27" fillId="0" borderId="9" xfId="508" applyFont="1" applyBorder="1" applyAlignment="1">
      <alignment horizontal="right"/>
    </xf>
    <xf numFmtId="43" fontId="27" fillId="40" borderId="15" xfId="508" applyFont="1" applyFill="1" applyBorder="1" applyAlignment="1">
      <alignment horizontal="right"/>
    </xf>
    <xf numFmtId="43" fontId="27" fillId="40" borderId="9" xfId="508" applyFont="1" applyFill="1" applyBorder="1" applyAlignment="1">
      <alignment horizontal="right"/>
    </xf>
    <xf numFmtId="43" fontId="22" fillId="40" borderId="15" xfId="508" applyFont="1" applyFill="1" applyBorder="1" applyAlignment="1"/>
    <xf numFmtId="0" fontId="97" fillId="0" borderId="14" xfId="392" applyFont="1" applyBorder="1" applyAlignment="1">
      <alignment vertical="center" wrapText="1"/>
    </xf>
    <xf numFmtId="43" fontId="22" fillId="40" borderId="16" xfId="508" applyFont="1" applyFill="1" applyBorder="1" applyAlignment="1"/>
    <xf numFmtId="0" fontId="28" fillId="0" borderId="22" xfId="374" applyFont="1" applyBorder="1" applyAlignment="1" applyProtection="1">
      <alignment horizontal="left" vertical="center"/>
      <protection locked="0"/>
    </xf>
    <xf numFmtId="43" fontId="27" fillId="40" borderId="27" xfId="509" quotePrefix="1" applyFont="1" applyFill="1" applyBorder="1" applyAlignment="1" applyProtection="1">
      <alignment horizontal="right"/>
      <protection locked="0"/>
    </xf>
    <xf numFmtId="219" fontId="28" fillId="39" borderId="17" xfId="0" quotePrefix="1" applyNumberFormat="1" applyFont="1" applyFill="1" applyBorder="1" applyAlignment="1">
      <alignment horizontal="center" vertical="center"/>
    </xf>
    <xf numFmtId="43" fontId="28" fillId="39" borderId="18" xfId="508" applyFont="1" applyFill="1" applyBorder="1" applyAlignment="1">
      <alignment horizontal="center" vertical="center"/>
    </xf>
    <xf numFmtId="43" fontId="28" fillId="39" borderId="20" xfId="508" applyFont="1" applyFill="1" applyBorder="1" applyAlignment="1">
      <alignment horizontal="center" vertical="center"/>
    </xf>
    <xf numFmtId="219" fontId="28" fillId="0" borderId="14" xfId="0" quotePrefix="1" applyNumberFormat="1" applyFont="1" applyBorder="1" applyAlignment="1">
      <alignment horizontal="left" vertical="center"/>
    </xf>
    <xf numFmtId="43" fontId="27" fillId="0" borderId="9" xfId="508" applyFont="1" applyBorder="1" applyAlignment="1"/>
    <xf numFmtId="43" fontId="27" fillId="0" borderId="15" xfId="508" applyFont="1" applyBorder="1" applyAlignment="1"/>
    <xf numFmtId="219" fontId="8" fillId="0" borderId="14" xfId="0" applyNumberFormat="1" applyFont="1" applyBorder="1" applyAlignment="1">
      <alignment horizontal="left" vertical="center"/>
    </xf>
    <xf numFmtId="43" fontId="10" fillId="0" borderId="9" xfId="508" applyFont="1" applyBorder="1" applyAlignment="1"/>
    <xf numFmtId="43" fontId="10" fillId="0" borderId="15" xfId="508" applyFont="1" applyBorder="1" applyAlignment="1"/>
    <xf numFmtId="43" fontId="10" fillId="0" borderId="9" xfId="508" applyFont="1" applyFill="1" applyBorder="1" applyAlignment="1"/>
    <xf numFmtId="43" fontId="8" fillId="0" borderId="14" xfId="508" quotePrefix="1" applyFont="1" applyBorder="1" applyAlignment="1">
      <alignment vertical="center"/>
    </xf>
    <xf numFmtId="219" fontId="28" fillId="40" borderId="26" xfId="0" quotePrefix="1" applyNumberFormat="1" applyFont="1" applyFill="1" applyBorder="1" applyAlignment="1">
      <alignment horizontal="left" vertical="center"/>
    </xf>
    <xf numFmtId="43" fontId="27" fillId="40" borderId="9" xfId="508" applyFont="1" applyFill="1" applyBorder="1" applyAlignment="1"/>
    <xf numFmtId="43" fontId="27" fillId="40" borderId="15" xfId="508" applyFont="1" applyFill="1" applyBorder="1" applyAlignment="1"/>
    <xf numFmtId="219" fontId="8" fillId="0" borderId="14" xfId="0" quotePrefix="1" applyNumberFormat="1" applyFont="1" applyBorder="1" applyAlignment="1">
      <alignment horizontal="left" vertical="center"/>
    </xf>
    <xf numFmtId="43" fontId="10" fillId="0" borderId="9" xfId="0" applyNumberFormat="1" applyFont="1" applyBorder="1" applyAlignment="1"/>
    <xf numFmtId="219" fontId="28" fillId="40" borderId="14" xfId="0" quotePrefix="1" applyNumberFormat="1" applyFont="1" applyFill="1" applyBorder="1" applyAlignment="1">
      <alignment horizontal="left" vertical="center"/>
    </xf>
    <xf numFmtId="43" fontId="27" fillId="40" borderId="9" xfId="0" applyNumberFormat="1" applyFont="1" applyFill="1" applyBorder="1" applyAlignment="1"/>
    <xf numFmtId="43" fontId="27" fillId="40" borderId="15" xfId="0" applyNumberFormat="1" applyFont="1" applyFill="1" applyBorder="1" applyAlignment="1"/>
    <xf numFmtId="219" fontId="28" fillId="40" borderId="23" xfId="0" quotePrefix="1" applyNumberFormat="1" applyFont="1" applyFill="1" applyBorder="1" applyAlignment="1">
      <alignment horizontal="left" vertical="center"/>
    </xf>
    <xf numFmtId="43" fontId="27" fillId="40" borderId="24" xfId="0" applyNumberFormat="1" applyFont="1" applyFill="1" applyBorder="1" applyAlignment="1"/>
    <xf numFmtId="43" fontId="27" fillId="40" borderId="27" xfId="0" applyNumberFormat="1" applyFont="1" applyFill="1" applyBorder="1" applyAlignment="1"/>
    <xf numFmtId="219" fontId="8" fillId="0" borderId="19" xfId="0" applyNumberFormat="1" applyFont="1" applyBorder="1">
      <alignment vertical="center"/>
    </xf>
    <xf numFmtId="0" fontId="27" fillId="39" borderId="17" xfId="0" applyFont="1" applyFill="1" applyBorder="1" applyAlignment="1">
      <alignment horizontal="center" vertical="center"/>
    </xf>
    <xf numFmtId="0" fontId="27" fillId="39" borderId="18" xfId="0" applyFont="1" applyFill="1" applyBorder="1" applyAlignment="1">
      <alignment horizontal="center" vertical="center"/>
    </xf>
    <xf numFmtId="0" fontId="27" fillId="39" borderId="30" xfId="0" applyFont="1" applyFill="1" applyBorder="1" applyAlignment="1">
      <alignment horizontal="center" vertical="center"/>
    </xf>
    <xf numFmtId="43" fontId="27" fillId="40" borderId="9" xfId="508" applyFont="1" applyFill="1" applyBorder="1" applyAlignment="1">
      <alignment shrinkToFit="1"/>
    </xf>
    <xf numFmtId="43" fontId="27" fillId="40" borderId="21" xfId="508" applyFont="1" applyFill="1" applyBorder="1" applyAlignment="1">
      <alignment shrinkToFit="1"/>
    </xf>
    <xf numFmtId="43" fontId="10" fillId="40" borderId="9" xfId="508" applyFont="1" applyFill="1" applyBorder="1" applyAlignment="1">
      <alignment shrinkToFit="1"/>
    </xf>
    <xf numFmtId="43" fontId="10" fillId="40" borderId="21" xfId="508" applyFont="1" applyFill="1" applyBorder="1" applyAlignment="1">
      <alignment shrinkToFit="1"/>
    </xf>
    <xf numFmtId="0" fontId="10" fillId="36" borderId="14" xfId="0" applyFont="1" applyFill="1" applyBorder="1" applyAlignment="1">
      <alignment horizontal="left" vertical="center"/>
    </xf>
    <xf numFmtId="49" fontId="10" fillId="36" borderId="14" xfId="0" applyNumberFormat="1" applyFont="1" applyFill="1" applyBorder="1" applyAlignment="1">
      <alignment horizontal="left" vertical="center"/>
    </xf>
    <xf numFmtId="0" fontId="10" fillId="36" borderId="14" xfId="0" applyFont="1" applyFill="1" applyBorder="1" applyAlignment="1">
      <alignment horizontal="left" vertical="center" wrapText="1"/>
    </xf>
    <xf numFmtId="0" fontId="27" fillId="40" borderId="14" xfId="0" applyFont="1" applyFill="1" applyBorder="1" applyAlignment="1">
      <alignment horizontal="left" vertical="center"/>
    </xf>
    <xf numFmtId="0" fontId="121" fillId="40" borderId="14" xfId="0" applyFont="1" applyFill="1" applyBorder="1" applyAlignment="1">
      <alignment horizontal="left" vertical="center"/>
    </xf>
    <xf numFmtId="0" fontId="27" fillId="40" borderId="22" xfId="0" applyFont="1" applyFill="1" applyBorder="1" applyAlignment="1">
      <alignment horizontal="left" vertical="center"/>
    </xf>
    <xf numFmtId="43" fontId="27" fillId="40" borderId="16" xfId="508" applyFont="1" applyFill="1" applyBorder="1" applyAlignment="1">
      <alignment shrinkToFit="1"/>
    </xf>
    <xf numFmtId="43" fontId="27" fillId="40" borderId="31" xfId="508" applyFont="1" applyFill="1" applyBorder="1" applyAlignment="1">
      <alignment shrinkToFit="1"/>
    </xf>
    <xf numFmtId="0" fontId="110" fillId="39" borderId="17" xfId="0" applyFont="1" applyFill="1" applyBorder="1" applyAlignment="1">
      <alignment horizontal="center" vertical="center" shrinkToFit="1"/>
    </xf>
    <xf numFmtId="14" fontId="110" fillId="39" borderId="18" xfId="0" applyNumberFormat="1" applyFont="1" applyFill="1" applyBorder="1" applyAlignment="1">
      <alignment horizontal="center" vertical="center" shrinkToFit="1"/>
    </xf>
    <xf numFmtId="0" fontId="110" fillId="39" borderId="18" xfId="0" applyFont="1" applyFill="1" applyBorder="1" applyAlignment="1">
      <alignment horizontal="center" vertical="center" shrinkToFit="1"/>
    </xf>
    <xf numFmtId="14" fontId="110" fillId="39" borderId="20" xfId="0" applyNumberFormat="1" applyFont="1" applyFill="1" applyBorder="1" applyAlignment="1">
      <alignment horizontal="center" vertical="center" shrinkToFit="1"/>
    </xf>
    <xf numFmtId="0" fontId="27" fillId="36" borderId="14" xfId="0" applyFont="1" applyFill="1" applyBorder="1" applyAlignment="1">
      <alignment vertical="center" shrinkToFit="1"/>
    </xf>
    <xf numFmtId="0" fontId="27" fillId="36" borderId="9" xfId="0" applyFont="1" applyFill="1" applyBorder="1" applyAlignment="1">
      <alignment horizontal="center" vertical="center" shrinkToFit="1"/>
    </xf>
    <xf numFmtId="0" fontId="27" fillId="36" borderId="9" xfId="0" applyFont="1" applyFill="1" applyBorder="1" applyAlignment="1">
      <alignment horizontal="left" vertical="center" shrinkToFit="1"/>
    </xf>
    <xf numFmtId="0" fontId="27" fillId="36" borderId="15" xfId="0" applyFont="1" applyFill="1" applyBorder="1" applyAlignment="1">
      <alignment horizontal="center" vertical="center" shrinkToFit="1"/>
    </xf>
    <xf numFmtId="0" fontId="10" fillId="36" borderId="14" xfId="0" applyFont="1" applyFill="1" applyBorder="1" applyAlignment="1">
      <alignment horizontal="left" vertical="center" shrinkToFit="1"/>
    </xf>
    <xf numFmtId="43" fontId="10" fillId="40" borderId="9" xfId="0" applyNumberFormat="1" applyFont="1" applyFill="1" applyBorder="1" applyAlignment="1"/>
    <xf numFmtId="0" fontId="10" fillId="36" borderId="9" xfId="0" applyFont="1" applyFill="1" applyBorder="1" applyAlignment="1">
      <alignment vertical="center" shrinkToFit="1"/>
    </xf>
    <xf numFmtId="43" fontId="10" fillId="40" borderId="15" xfId="0" applyNumberFormat="1" applyFont="1" applyFill="1" applyBorder="1" applyAlignment="1"/>
    <xf numFmtId="0" fontId="10" fillId="36" borderId="14" xfId="0" applyFont="1" applyFill="1" applyBorder="1" applyAlignment="1">
      <alignment vertical="center" shrinkToFit="1"/>
    </xf>
    <xf numFmtId="0" fontId="121" fillId="0" borderId="14" xfId="0" applyFont="1" applyBorder="1" applyAlignment="1">
      <alignment horizontal="left" vertical="center" shrinkToFit="1"/>
    </xf>
    <xf numFmtId="0" fontId="121" fillId="0" borderId="9" xfId="0" applyFont="1" applyBorder="1" applyAlignment="1">
      <alignment horizontal="left" vertical="center" shrinkToFit="1"/>
    </xf>
    <xf numFmtId="0" fontId="27" fillId="36" borderId="14" xfId="0" applyFont="1" applyFill="1" applyBorder="1" applyAlignment="1">
      <alignment horizontal="left" vertical="center" shrinkToFit="1"/>
    </xf>
    <xf numFmtId="0" fontId="27" fillId="36" borderId="9" xfId="0" applyFont="1" applyFill="1" applyBorder="1" applyAlignment="1">
      <alignment vertical="center" shrinkToFit="1"/>
    </xf>
    <xf numFmtId="0" fontId="83" fillId="36" borderId="14" xfId="0" applyFont="1" applyFill="1" applyBorder="1" applyAlignment="1">
      <alignment vertical="center" shrinkToFit="1"/>
    </xf>
    <xf numFmtId="0" fontId="121" fillId="0" borderId="9" xfId="0" applyFont="1" applyBorder="1" applyAlignment="1">
      <alignment horizontal="center" vertical="center" shrinkToFit="1"/>
    </xf>
    <xf numFmtId="0" fontId="10" fillId="36" borderId="32" xfId="0" applyFont="1" applyFill="1" applyBorder="1" applyAlignment="1">
      <alignment horizontal="center" vertical="center" shrinkToFit="1"/>
    </xf>
    <xf numFmtId="0" fontId="83" fillId="36" borderId="9" xfId="0" applyFont="1" applyFill="1" applyBorder="1" applyAlignment="1">
      <alignment vertical="center" shrinkToFit="1"/>
    </xf>
    <xf numFmtId="0" fontId="121" fillId="0" borderId="24" xfId="0" applyFont="1" applyBorder="1" applyAlignment="1">
      <alignment horizontal="center" vertical="center" shrinkToFit="1"/>
    </xf>
    <xf numFmtId="0" fontId="121" fillId="40" borderId="22" xfId="0" applyFont="1" applyFill="1" applyBorder="1" applyAlignment="1">
      <alignment horizontal="center" vertical="center" shrinkToFit="1"/>
    </xf>
    <xf numFmtId="43" fontId="121" fillId="40" borderId="16" xfId="508" applyFont="1" applyFill="1" applyBorder="1" applyAlignment="1">
      <alignment shrinkToFit="1"/>
    </xf>
    <xf numFmtId="0" fontId="121" fillId="40" borderId="16" xfId="0" applyFont="1" applyFill="1" applyBorder="1" applyAlignment="1">
      <alignment horizontal="center" vertical="center" shrinkToFit="1"/>
    </xf>
    <xf numFmtId="43" fontId="121" fillId="40" borderId="16" xfId="0" applyNumberFormat="1" applyFont="1" applyFill="1" applyBorder="1" applyAlignment="1"/>
    <xf numFmtId="43" fontId="121" fillId="40" borderId="27" xfId="0" applyNumberFormat="1" applyFont="1" applyFill="1" applyBorder="1" applyAlignment="1"/>
    <xf numFmtId="219" fontId="9" fillId="37" borderId="14" xfId="0" applyNumberFormat="1" applyFont="1" applyFill="1" applyBorder="1" applyAlignment="1">
      <alignment horizontal="left" vertical="center"/>
    </xf>
    <xf numFmtId="219" fontId="9" fillId="37" borderId="9" xfId="0" applyNumberFormat="1" applyFont="1" applyFill="1" applyBorder="1" applyAlignment="1">
      <alignment horizontal="left" vertical="center"/>
    </xf>
    <xf numFmtId="219" fontId="84" fillId="37" borderId="23" xfId="0" applyNumberFormat="1" applyFont="1" applyFill="1" applyBorder="1" applyAlignment="1">
      <alignment horizontal="left" vertical="center"/>
    </xf>
    <xf numFmtId="43" fontId="84" fillId="37" borderId="14" xfId="508" applyFont="1" applyFill="1" applyBorder="1" applyAlignment="1">
      <alignment vertical="center" wrapText="1"/>
    </xf>
    <xf numFmtId="219" fontId="84" fillId="37" borderId="14" xfId="0" applyNumberFormat="1" applyFont="1" applyFill="1" applyBorder="1" applyAlignment="1">
      <alignment horizontal="left" vertical="center"/>
    </xf>
    <xf numFmtId="43" fontId="22" fillId="40" borderId="25" xfId="0" applyNumberFormat="1" applyFont="1" applyFill="1" applyBorder="1" applyAlignment="1"/>
    <xf numFmtId="49" fontId="20" fillId="37" borderId="14" xfId="0" applyNumberFormat="1" applyFont="1" applyFill="1" applyBorder="1" applyAlignment="1">
      <alignment horizontal="left" vertical="center" wrapText="1"/>
    </xf>
    <xf numFmtId="49" fontId="20" fillId="37" borderId="14" xfId="0" applyNumberFormat="1" applyFont="1" applyFill="1" applyBorder="1" applyAlignment="1">
      <alignment horizontal="left" vertical="center"/>
    </xf>
    <xf numFmtId="49" fontId="20" fillId="0" borderId="14" xfId="0" applyNumberFormat="1" applyFont="1" applyBorder="1" applyAlignment="1">
      <alignment horizontal="left" vertical="center" wrapText="1"/>
    </xf>
    <xf numFmtId="0" fontId="20" fillId="36" borderId="21" xfId="0" applyFont="1" applyFill="1" applyBorder="1" applyAlignment="1">
      <alignment horizontal="left" vertical="center"/>
    </xf>
    <xf numFmtId="49" fontId="20" fillId="36" borderId="21" xfId="0" applyNumberFormat="1" applyFont="1" applyFill="1" applyBorder="1" applyAlignment="1">
      <alignment horizontal="left" vertical="center"/>
    </xf>
    <xf numFmtId="49" fontId="20" fillId="36" borderId="21" xfId="0" applyNumberFormat="1" applyFont="1" applyFill="1" applyBorder="1" applyAlignment="1">
      <alignment horizontal="left" vertical="center" wrapText="1"/>
    </xf>
    <xf numFmtId="49" fontId="20" fillId="37" borderId="21" xfId="0" applyNumberFormat="1" applyFont="1" applyFill="1" applyBorder="1" applyAlignment="1">
      <alignment horizontal="left" vertical="center" wrapText="1"/>
    </xf>
    <xf numFmtId="49" fontId="20" fillId="37" borderId="21" xfId="0" applyNumberFormat="1" applyFont="1" applyFill="1" applyBorder="1" applyAlignment="1">
      <alignment horizontal="left" vertical="center"/>
    </xf>
    <xf numFmtId="49" fontId="20" fillId="41" borderId="21" xfId="0" applyNumberFormat="1" applyFont="1" applyFill="1" applyBorder="1" applyAlignment="1">
      <alignment horizontal="left" vertical="center" wrapText="1"/>
    </xf>
    <xf numFmtId="49" fontId="20" fillId="41" borderId="21" xfId="0" applyNumberFormat="1" applyFont="1" applyFill="1" applyBorder="1" applyAlignment="1">
      <alignment horizontal="left" vertical="center"/>
    </xf>
    <xf numFmtId="0" fontId="20" fillId="36" borderId="19" xfId="0" applyFont="1" applyFill="1" applyBorder="1" applyAlignment="1"/>
    <xf numFmtId="0" fontId="8" fillId="37" borderId="14" xfId="0" applyFont="1" applyFill="1" applyBorder="1" applyAlignment="1">
      <alignment vertical="center" wrapText="1"/>
    </xf>
    <xf numFmtId="0" fontId="20" fillId="37" borderId="14" xfId="392" applyFont="1" applyFill="1" applyBorder="1" applyAlignment="1">
      <alignment horizontal="left" vertical="center" wrapText="1"/>
    </xf>
    <xf numFmtId="0" fontId="26" fillId="0" borderId="2" xfId="0" applyFont="1" applyBorder="1" applyAlignment="1">
      <alignment horizontal="right" vertical="center"/>
    </xf>
    <xf numFmtId="0" fontId="102" fillId="0" borderId="0" xfId="0" applyFont="1" applyAlignment="1"/>
    <xf numFmtId="43" fontId="22" fillId="40" borderId="22" xfId="508" applyFont="1" applyFill="1" applyBorder="1" applyAlignment="1">
      <alignment vertical="center"/>
    </xf>
    <xf numFmtId="0" fontId="26" fillId="0" borderId="2" xfId="0" applyFont="1" applyBorder="1">
      <alignment vertical="center"/>
    </xf>
    <xf numFmtId="0" fontId="10" fillId="36" borderId="19" xfId="0" applyFont="1" applyFill="1" applyBorder="1">
      <alignment vertical="center"/>
    </xf>
    <xf numFmtId="0" fontId="20" fillId="42" borderId="14" xfId="0" applyFont="1" applyFill="1" applyBorder="1" applyAlignment="1">
      <alignment horizontal="left" vertical="center"/>
    </xf>
    <xf numFmtId="0" fontId="20" fillId="0" borderId="9" xfId="0" applyFont="1" applyBorder="1" applyAlignment="1">
      <alignment vertical="center" shrinkToFit="1"/>
    </xf>
    <xf numFmtId="0" fontId="22" fillId="42" borderId="14" xfId="0" applyFont="1" applyFill="1" applyBorder="1" applyAlignment="1">
      <alignment horizontal="left" vertical="center"/>
    </xf>
    <xf numFmtId="0" fontId="20" fillId="42" borderId="21" xfId="0" applyFont="1" applyFill="1" applyBorder="1" applyAlignment="1">
      <alignment horizontal="left" vertical="center"/>
    </xf>
    <xf numFmtId="0" fontId="20" fillId="42" borderId="21" xfId="0" applyFont="1" applyFill="1" applyBorder="1" applyAlignment="1">
      <alignment horizontal="left" vertical="center" wrapText="1"/>
    </xf>
    <xf numFmtId="0" fontId="20" fillId="42" borderId="14" xfId="0" applyFont="1" applyFill="1" applyBorder="1" applyAlignment="1">
      <alignment horizontal="left" vertical="center" wrapText="1"/>
    </xf>
    <xf numFmtId="0" fontId="10" fillId="42" borderId="9" xfId="0" applyFont="1" applyFill="1" applyBorder="1" applyAlignment="1">
      <alignment vertical="center" wrapText="1" shrinkToFit="1"/>
    </xf>
    <xf numFmtId="0" fontId="10" fillId="42" borderId="14" xfId="0" applyFont="1" applyFill="1" applyBorder="1" applyAlignment="1">
      <alignment vertical="center" shrinkToFit="1"/>
    </xf>
    <xf numFmtId="0" fontId="114" fillId="0" borderId="17" xfId="0" applyFont="1" applyBorder="1" applyAlignment="1">
      <alignment horizontal="center" vertical="center" shrinkToFit="1"/>
    </xf>
    <xf numFmtId="0" fontId="22" fillId="0" borderId="14" xfId="0" applyFont="1" applyBorder="1" applyAlignment="1">
      <alignment vertical="center" shrinkToFit="1"/>
    </xf>
    <xf numFmtId="0" fontId="20" fillId="0" borderId="14" xfId="0" applyFont="1" applyBorder="1" applyAlignment="1">
      <alignment horizontal="left" vertical="center" shrinkToFit="1"/>
    </xf>
    <xf numFmtId="0" fontId="20" fillId="0" borderId="14" xfId="0" applyFont="1" applyBorder="1" applyAlignment="1">
      <alignment vertical="center" shrinkToFit="1"/>
    </xf>
    <xf numFmtId="0" fontId="20" fillId="0" borderId="0" xfId="0" applyFont="1" applyAlignment="1">
      <alignment vertical="center" shrinkToFit="1"/>
    </xf>
    <xf numFmtId="0" fontId="22" fillId="0" borderId="14" xfId="0" applyFont="1" applyBorder="1" applyAlignment="1">
      <alignment horizontal="left" vertical="center" shrinkToFit="1"/>
    </xf>
    <xf numFmtId="43" fontId="22" fillId="0" borderId="14" xfId="0" applyNumberFormat="1" applyFont="1" applyBorder="1" applyAlignment="1"/>
    <xf numFmtId="0" fontId="115" fillId="0" borderId="22" xfId="0" applyFont="1" applyBorder="1" applyAlignment="1">
      <alignment horizontal="center" vertical="center" shrinkToFit="1"/>
    </xf>
    <xf numFmtId="0" fontId="27" fillId="0" borderId="0" xfId="0" applyFont="1" applyAlignment="1">
      <alignment horizontal="center" vertical="center" shrinkToFit="1"/>
    </xf>
    <xf numFmtId="0" fontId="30" fillId="0" borderId="0" xfId="0" applyFont="1" applyAlignment="1"/>
    <xf numFmtId="0" fontId="11" fillId="0" borderId="0" xfId="0" applyFont="1">
      <alignment vertical="center"/>
    </xf>
    <xf numFmtId="0" fontId="17" fillId="0" borderId="0" xfId="0" applyFont="1">
      <alignment vertical="center"/>
    </xf>
    <xf numFmtId="0" fontId="114" fillId="0" borderId="18" xfId="0" applyFont="1" applyBorder="1" applyAlignment="1">
      <alignment horizontal="center" vertical="center" shrinkToFit="1"/>
    </xf>
    <xf numFmtId="0" fontId="22" fillId="0" borderId="9" xfId="0" applyFont="1" applyBorder="1" applyAlignment="1">
      <alignment horizontal="left" vertical="center" shrinkToFit="1"/>
    </xf>
    <xf numFmtId="0" fontId="20" fillId="0" borderId="9" xfId="0" applyFont="1" applyBorder="1" applyAlignment="1">
      <alignment vertical="center" wrapText="1" shrinkToFit="1"/>
    </xf>
    <xf numFmtId="0" fontId="115" fillId="0" borderId="9" xfId="0" applyFont="1" applyBorder="1" applyAlignment="1">
      <alignment horizontal="left" vertical="center" shrinkToFit="1"/>
    </xf>
    <xf numFmtId="0" fontId="22" fillId="0" borderId="9" xfId="0" applyFont="1" applyBorder="1" applyAlignment="1">
      <alignment vertical="center" shrinkToFit="1"/>
    </xf>
    <xf numFmtId="0" fontId="115" fillId="0" borderId="9" xfId="0" applyFont="1" applyBorder="1" applyAlignment="1">
      <alignment horizontal="center" vertical="center" shrinkToFit="1"/>
    </xf>
    <xf numFmtId="0" fontId="86" fillId="0" borderId="9" xfId="0" applyFont="1" applyBorder="1" applyAlignment="1">
      <alignment vertical="center" shrinkToFit="1"/>
    </xf>
    <xf numFmtId="0" fontId="115" fillId="0" borderId="24" xfId="0" applyFont="1" applyBorder="1" applyAlignment="1">
      <alignment horizontal="center" vertical="center" shrinkToFit="1"/>
    </xf>
    <xf numFmtId="0" fontId="115" fillId="0" borderId="16" xfId="0" applyFont="1" applyBorder="1" applyAlignment="1">
      <alignment horizontal="center" vertical="center" shrinkToFit="1"/>
    </xf>
    <xf numFmtId="0" fontId="111" fillId="0" borderId="0" xfId="0" applyFont="1" applyAlignment="1">
      <alignment horizontal="center" vertical="center"/>
    </xf>
    <xf numFmtId="0" fontId="27" fillId="0" borderId="14" xfId="0" applyFont="1" applyBorder="1" applyAlignment="1">
      <alignment horizontal="left" vertical="center"/>
    </xf>
    <xf numFmtId="0" fontId="108" fillId="0" borderId="14" xfId="0" applyFont="1" applyBorder="1" applyAlignment="1">
      <alignment horizontal="left" vertical="center"/>
    </xf>
    <xf numFmtId="0" fontId="85" fillId="0" borderId="0" xfId="0" applyFont="1" applyAlignment="1">
      <alignment horizontal="center" vertical="top"/>
    </xf>
    <xf numFmtId="31" fontId="8" fillId="0" borderId="0" xfId="0" applyNumberFormat="1" applyFont="1" applyAlignment="1">
      <alignment horizontal="center" vertical="center"/>
    </xf>
    <xf numFmtId="0" fontId="94" fillId="36" borderId="0" xfId="0" applyFont="1" applyFill="1" applyAlignment="1">
      <alignment horizontal="center" vertical="center"/>
    </xf>
    <xf numFmtId="15" fontId="10" fillId="36" borderId="0" xfId="0" applyNumberFormat="1" applyFont="1" applyFill="1" applyAlignment="1">
      <alignment horizontal="center" vertical="center"/>
    </xf>
    <xf numFmtId="0" fontId="10" fillId="36" borderId="0" xfId="0" applyFont="1" applyFill="1" applyAlignment="1">
      <alignment horizontal="center" vertical="center"/>
    </xf>
    <xf numFmtId="0" fontId="10" fillId="36" borderId="2" xfId="0" applyFont="1" applyFill="1" applyBorder="1" applyAlignment="1">
      <alignment horizontal="left"/>
    </xf>
    <xf numFmtId="49" fontId="10" fillId="36" borderId="2" xfId="0" applyNumberFormat="1" applyFont="1" applyFill="1" applyBorder="1" applyAlignment="1">
      <alignment horizontal="left"/>
    </xf>
    <xf numFmtId="0" fontId="85" fillId="0" borderId="0" xfId="0" applyFont="1" applyAlignment="1">
      <alignment horizontal="center" vertical="center"/>
    </xf>
    <xf numFmtId="0" fontId="8" fillId="0" borderId="0" xfId="0" applyFont="1" applyAlignment="1">
      <alignment horizontal="center" vertical="center"/>
    </xf>
    <xf numFmtId="0" fontId="32" fillId="36" borderId="0" xfId="0" applyFont="1" applyFill="1" applyAlignment="1">
      <alignment horizontal="center" vertical="center"/>
    </xf>
    <xf numFmtId="0" fontId="10" fillId="36" borderId="2" xfId="0" applyFont="1" applyFill="1" applyBorder="1" applyAlignment="1">
      <alignment horizontal="left" vertical="center"/>
    </xf>
    <xf numFmtId="0" fontId="18" fillId="36" borderId="0" xfId="0" applyFont="1" applyFill="1" applyAlignment="1">
      <alignment horizontal="center" vertical="center"/>
    </xf>
    <xf numFmtId="0" fontId="22" fillId="39" borderId="30" xfId="0" applyFont="1" applyFill="1" applyBorder="1" applyAlignment="1">
      <alignment horizontal="center" vertical="center"/>
    </xf>
    <xf numFmtId="0" fontId="22" fillId="39" borderId="17" xfId="0" applyFont="1" applyFill="1" applyBorder="1" applyAlignment="1">
      <alignment horizontal="center" vertical="center"/>
    </xf>
    <xf numFmtId="0" fontId="25" fillId="0" borderId="0" xfId="0" applyFont="1" applyAlignment="1">
      <alignment horizontal="center" vertical="center"/>
    </xf>
    <xf numFmtId="0" fontId="87" fillId="0" borderId="0" xfId="0" applyFont="1" applyAlignment="1">
      <alignment horizontal="center" vertical="center"/>
    </xf>
    <xf numFmtId="0" fontId="84" fillId="0" borderId="0" xfId="0" applyFont="1" applyAlignment="1">
      <alignment horizontal="center" vertical="center"/>
    </xf>
    <xf numFmtId="0" fontId="118" fillId="39" borderId="9" xfId="0" applyFont="1" applyFill="1" applyBorder="1" applyAlignment="1">
      <alignment horizontal="center" vertical="center" wrapText="1"/>
    </xf>
    <xf numFmtId="0" fontId="7" fillId="0" borderId="0" xfId="0" applyFont="1" applyAlignment="1">
      <alignment horizontal="center" vertical="center"/>
    </xf>
    <xf numFmtId="0" fontId="118" fillId="39" borderId="33" xfId="0" applyFont="1" applyFill="1" applyBorder="1" applyAlignment="1">
      <alignment horizontal="center" vertical="center"/>
    </xf>
    <xf numFmtId="0" fontId="118" fillId="39" borderId="34" xfId="0" applyFont="1" applyFill="1" applyBorder="1" applyAlignment="1">
      <alignment horizontal="center" vertical="center"/>
    </xf>
    <xf numFmtId="0" fontId="118" fillId="39" borderId="18" xfId="0" applyFont="1" applyFill="1" applyBorder="1" applyAlignment="1">
      <alignment horizontal="center" vertical="center"/>
    </xf>
    <xf numFmtId="0" fontId="118" fillId="39" borderId="20" xfId="0" applyFont="1" applyFill="1" applyBorder="1" applyAlignment="1">
      <alignment horizontal="center" vertical="center"/>
    </xf>
    <xf numFmtId="0" fontId="118" fillId="39" borderId="15" xfId="0" applyFont="1" applyFill="1" applyBorder="1" applyAlignment="1">
      <alignment horizontal="center" vertical="center" wrapText="1"/>
    </xf>
    <xf numFmtId="0" fontId="109" fillId="39" borderId="17" xfId="0" applyFont="1" applyFill="1" applyBorder="1" applyAlignment="1">
      <alignment horizontal="center" vertical="center" wrapText="1"/>
    </xf>
    <xf numFmtId="0" fontId="109" fillId="39" borderId="21" xfId="0" applyFont="1" applyFill="1" applyBorder="1" applyAlignment="1">
      <alignment horizontal="center" vertical="center" wrapText="1"/>
    </xf>
    <xf numFmtId="0" fontId="118" fillId="39" borderId="9" xfId="0" applyFont="1" applyFill="1" applyBorder="1" applyAlignment="1">
      <alignment horizontal="center" vertical="center"/>
    </xf>
    <xf numFmtId="0" fontId="106" fillId="41" borderId="0" xfId="392" applyFont="1" applyFill="1" applyAlignment="1">
      <alignment horizontal="center" vertical="center"/>
    </xf>
    <xf numFmtId="0" fontId="22" fillId="39" borderId="18" xfId="392" applyFont="1" applyFill="1" applyBorder="1" applyAlignment="1">
      <alignment horizontal="center" vertical="center"/>
    </xf>
    <xf numFmtId="0" fontId="22" fillId="39" borderId="20" xfId="392" applyFont="1" applyFill="1" applyBorder="1" applyAlignment="1">
      <alignment horizontal="center" vertical="center"/>
    </xf>
    <xf numFmtId="0" fontId="22" fillId="39" borderId="9" xfId="392" applyFont="1" applyFill="1" applyBorder="1" applyAlignment="1">
      <alignment horizontal="center" vertical="center" wrapText="1"/>
    </xf>
    <xf numFmtId="0" fontId="22" fillId="39" borderId="15" xfId="392" applyFont="1" applyFill="1" applyBorder="1" applyAlignment="1">
      <alignment horizontal="center" vertical="center" wrapText="1"/>
    </xf>
    <xf numFmtId="0" fontId="22" fillId="39" borderId="9" xfId="392" applyFont="1" applyFill="1" applyBorder="1" applyAlignment="1">
      <alignment horizontal="center" vertical="center"/>
    </xf>
    <xf numFmtId="0" fontId="93" fillId="41" borderId="0" xfId="392" applyFont="1" applyFill="1" applyAlignment="1">
      <alignment horizontal="center" vertical="center" wrapText="1"/>
    </xf>
    <xf numFmtId="0" fontId="22" fillId="39" borderId="17" xfId="392" applyFont="1" applyFill="1" applyBorder="1" applyAlignment="1">
      <alignment horizontal="center" vertical="center" wrapText="1"/>
    </xf>
    <xf numFmtId="0" fontId="22" fillId="39" borderId="14" xfId="392" applyFont="1" applyFill="1" applyBorder="1" applyAlignment="1">
      <alignment horizontal="center" vertical="center" wrapText="1"/>
    </xf>
    <xf numFmtId="0" fontId="22" fillId="39" borderId="24" xfId="392" applyFont="1" applyFill="1" applyBorder="1" applyAlignment="1">
      <alignment horizontal="center" vertical="center" wrapText="1"/>
    </xf>
    <xf numFmtId="0" fontId="22" fillId="39" borderId="28" xfId="392" applyFont="1" applyFill="1" applyBorder="1" applyAlignment="1">
      <alignment horizontal="center" vertical="center" wrapText="1"/>
    </xf>
    <xf numFmtId="0" fontId="87" fillId="0" borderId="0" xfId="380" applyFont="1" applyAlignment="1" applyProtection="1">
      <alignment horizontal="center"/>
      <protection locked="0"/>
    </xf>
    <xf numFmtId="0" fontId="6" fillId="0" borderId="0" xfId="380" applyFont="1" applyAlignment="1" applyProtection="1">
      <alignment horizontal="center"/>
      <protection locked="0"/>
    </xf>
    <xf numFmtId="0" fontId="8" fillId="0" borderId="0" xfId="374" applyFont="1" applyAlignment="1" applyProtection="1">
      <alignment horizontal="center"/>
      <protection locked="0"/>
    </xf>
    <xf numFmtId="0" fontId="90" fillId="0" borderId="0" xfId="0" applyFont="1" applyAlignment="1">
      <alignment horizontal="center" vertical="center"/>
    </xf>
    <xf numFmtId="0" fontId="11" fillId="0" borderId="0" xfId="374" applyFont="1" applyAlignment="1" applyProtection="1">
      <alignment horizontal="center"/>
      <protection locked="0"/>
    </xf>
    <xf numFmtId="0" fontId="95" fillId="0" borderId="0" xfId="0" applyFont="1" applyAlignment="1">
      <alignment horizontal="center" vertical="center"/>
    </xf>
    <xf numFmtId="0" fontId="20" fillId="36" borderId="0" xfId="0" applyFont="1" applyFill="1" applyAlignment="1">
      <alignment horizontal="center" vertical="center"/>
    </xf>
    <xf numFmtId="0" fontId="2" fillId="0" borderId="40" xfId="0" applyFont="1" applyBorder="1" applyAlignment="1">
      <alignment horizontal="left"/>
    </xf>
    <xf numFmtId="0" fontId="2" fillId="0" borderId="6" xfId="0" applyFont="1" applyBorder="1" applyAlignment="1">
      <alignment horizontal="left"/>
    </xf>
    <xf numFmtId="0" fontId="2" fillId="0" borderId="13" xfId="0" applyFont="1" applyBorder="1" applyAlignment="1">
      <alignment horizontal="left"/>
    </xf>
    <xf numFmtId="0" fontId="2" fillId="0" borderId="43" xfId="0" applyFont="1" applyBorder="1" applyAlignment="1">
      <alignment horizontal="left"/>
    </xf>
    <xf numFmtId="0" fontId="4" fillId="0" borderId="44" xfId="0" applyFont="1" applyBorder="1" applyAlignment="1">
      <alignment horizontal="left"/>
    </xf>
    <xf numFmtId="0" fontId="4" fillId="0" borderId="45" xfId="0" applyFont="1" applyBorder="1" applyAlignment="1">
      <alignment horizontal="left"/>
    </xf>
    <xf numFmtId="0" fontId="4" fillId="0" borderId="46" xfId="0" applyFont="1" applyBorder="1" applyAlignment="1">
      <alignment horizontal="left" vertical="top" wrapText="1"/>
    </xf>
    <xf numFmtId="0" fontId="4" fillId="0" borderId="0" xfId="0" applyFont="1" applyAlignment="1">
      <alignment horizontal="left" vertical="top" wrapText="1"/>
    </xf>
    <xf numFmtId="0" fontId="4" fillId="0" borderId="47" xfId="0" applyFont="1" applyBorder="1" applyAlignment="1">
      <alignment horizontal="left" vertical="top" wrapText="1"/>
    </xf>
    <xf numFmtId="0" fontId="4" fillId="0" borderId="38" xfId="0" applyFont="1" applyBorder="1" applyAlignment="1">
      <alignment horizontal="left" vertical="top" wrapText="1"/>
    </xf>
    <xf numFmtId="0" fontId="4" fillId="0" borderId="3" xfId="0" applyFont="1" applyBorder="1" applyAlignment="1">
      <alignment horizontal="left" vertical="top" wrapText="1"/>
    </xf>
    <xf numFmtId="0" fontId="4" fillId="0" borderId="39" xfId="0" applyFont="1" applyBorder="1" applyAlignment="1">
      <alignment horizontal="left" vertical="top" wrapText="1"/>
    </xf>
    <xf numFmtId="0" fontId="4" fillId="0" borderId="40" xfId="0" applyFont="1" applyBorder="1" applyAlignment="1">
      <alignment horizontal="left"/>
    </xf>
    <xf numFmtId="0" fontId="4" fillId="0" borderId="13" xfId="0" applyFont="1" applyBorder="1" applyAlignment="1">
      <alignment horizontal="left"/>
    </xf>
    <xf numFmtId="0" fontId="4" fillId="0" borderId="40" xfId="0" applyFont="1" applyBorder="1" applyAlignment="1">
      <alignment horizontal="center"/>
    </xf>
    <xf numFmtId="0" fontId="4" fillId="0" borderId="13" xfId="0" applyFont="1" applyBorder="1" applyAlignment="1">
      <alignment horizontal="center"/>
    </xf>
    <xf numFmtId="0" fontId="4" fillId="0" borderId="1" xfId="0" applyFont="1" applyBorder="1" applyAlignment="1">
      <alignment horizontal="center"/>
    </xf>
    <xf numFmtId="43" fontId="4" fillId="0" borderId="40" xfId="0" applyNumberFormat="1" applyFont="1" applyBorder="1" applyAlignment="1">
      <alignment horizontal="center"/>
    </xf>
    <xf numFmtId="0" fontId="122" fillId="0" borderId="41" xfId="0" applyFont="1" applyBorder="1" applyAlignment="1">
      <alignment horizontal="right"/>
    </xf>
    <xf numFmtId="0" fontId="122" fillId="0" borderId="10" xfId="0" applyFont="1" applyBorder="1" applyAlignment="1">
      <alignment horizontal="right"/>
    </xf>
    <xf numFmtId="0" fontId="122" fillId="0" borderId="42" xfId="0" applyFont="1" applyBorder="1" applyAlignment="1">
      <alignment horizontal="right"/>
    </xf>
    <xf numFmtId="9" fontId="4" fillId="37" borderId="12" xfId="0" applyNumberFormat="1" applyFont="1" applyFill="1" applyBorder="1" applyAlignment="1">
      <alignment horizontal="center"/>
    </xf>
    <xf numFmtId="0" fontId="4" fillId="37" borderId="12" xfId="0" applyFont="1" applyFill="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xf>
    <xf numFmtId="0" fontId="2" fillId="0" borderId="37" xfId="0" applyFont="1" applyBorder="1" applyAlignment="1">
      <alignment horizontal="left"/>
    </xf>
    <xf numFmtId="0" fontId="4" fillId="0" borderId="38"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right" vertical="center"/>
    </xf>
    <xf numFmtId="0" fontId="4" fillId="0" borderId="13" xfId="0" applyFont="1" applyBorder="1" applyAlignment="1">
      <alignment horizontal="right" vertical="center"/>
    </xf>
    <xf numFmtId="0" fontId="3" fillId="0" borderId="41" xfId="0" applyFont="1" applyBorder="1" applyAlignment="1">
      <alignment horizontal="center"/>
    </xf>
    <xf numFmtId="0" fontId="3" fillId="0" borderId="42" xfId="0" applyFont="1" applyBorder="1" applyAlignment="1">
      <alignment horizontal="center"/>
    </xf>
    <xf numFmtId="0" fontId="3" fillId="0" borderId="44" xfId="0" applyFont="1" applyBorder="1" applyAlignment="1">
      <alignment horizontal="left"/>
    </xf>
    <xf numFmtId="0" fontId="3" fillId="0" borderId="45" xfId="0" applyFont="1" applyBorder="1" applyAlignment="1">
      <alignment horizontal="left"/>
    </xf>
    <xf numFmtId="0" fontId="3" fillId="0" borderId="38" xfId="0" applyFont="1" applyBorder="1" applyAlignment="1">
      <alignment horizontal="left"/>
    </xf>
    <xf numFmtId="0" fontId="3" fillId="0" borderId="39" xfId="0" applyFont="1" applyBorder="1" applyAlignment="1">
      <alignment horizontal="left"/>
    </xf>
    <xf numFmtId="0" fontId="3" fillId="37" borderId="41" xfId="0" applyFont="1" applyFill="1" applyBorder="1" applyAlignment="1">
      <alignment horizontal="center"/>
    </xf>
    <xf numFmtId="0" fontId="3" fillId="37" borderId="42" xfId="0" applyFont="1" applyFill="1" applyBorder="1" applyAlignment="1">
      <alignment horizontal="center"/>
    </xf>
    <xf numFmtId="0" fontId="3" fillId="0" borderId="38" xfId="0" applyFont="1" applyBorder="1" applyAlignment="1">
      <alignment horizontal="center"/>
    </xf>
    <xf numFmtId="0" fontId="3" fillId="0" borderId="39" xfId="0" applyFont="1" applyBorder="1" applyAlignment="1">
      <alignment horizontal="center"/>
    </xf>
    <xf numFmtId="0" fontId="24" fillId="0" borderId="38" xfId="0" applyFont="1" applyBorder="1" applyAlignment="1">
      <alignment horizontal="center"/>
    </xf>
    <xf numFmtId="0" fontId="24" fillId="0" borderId="39" xfId="0" applyFont="1" applyBorder="1" applyAlignment="1">
      <alignment horizontal="center"/>
    </xf>
    <xf numFmtId="0" fontId="2" fillId="0" borderId="35" xfId="0" applyFont="1" applyBorder="1" applyAlignment="1">
      <alignment horizontal="center"/>
    </xf>
    <xf numFmtId="0" fontId="4" fillId="0" borderId="36" xfId="0" applyFont="1" applyBorder="1" applyAlignment="1">
      <alignment horizontal="left"/>
    </xf>
    <xf numFmtId="0" fontId="3" fillId="0" borderId="35" xfId="0" applyFont="1" applyBorder="1" applyAlignment="1">
      <alignment horizontal="left"/>
    </xf>
    <xf numFmtId="0" fontId="3" fillId="0" borderId="37" xfId="0" applyFont="1" applyBorder="1" applyAlignment="1">
      <alignment horizontal="left"/>
    </xf>
    <xf numFmtId="0" fontId="3" fillId="37" borderId="38" xfId="0" applyFont="1" applyFill="1" applyBorder="1" applyAlignment="1">
      <alignment horizontal="center"/>
    </xf>
    <xf numFmtId="0" fontId="3" fillId="37" borderId="39" xfId="0" applyFont="1" applyFill="1" applyBorder="1" applyAlignment="1">
      <alignment horizontal="center"/>
    </xf>
    <xf numFmtId="0" fontId="3" fillId="37" borderId="40" xfId="0" applyFont="1" applyFill="1" applyBorder="1" applyAlignment="1">
      <alignment horizontal="center"/>
    </xf>
    <xf numFmtId="0" fontId="3" fillId="37" borderId="13" xfId="0" applyFont="1" applyFill="1" applyBorder="1" applyAlignment="1">
      <alignment horizontal="center"/>
    </xf>
  </cellXfs>
  <cellStyles count="554">
    <cellStyle name="_x000a_mouse.drv=lm" xfId="1" xr:uid="{00000000-0005-0000-0000-000000000000}"/>
    <cellStyle name="_x000a_mouse.drv=lm 2" xfId="2" xr:uid="{00000000-0005-0000-0000-000001000000}"/>
    <cellStyle name="0%" xfId="3" xr:uid="{00000000-0005-0000-0000-000002000000}"/>
    <cellStyle name="0% 2" xfId="4" xr:uid="{00000000-0005-0000-0000-000003000000}"/>
    <cellStyle name="0,0_x000d__x000a_NA_x000d__x000a_" xfId="5" xr:uid="{00000000-0005-0000-0000-000004000000}"/>
    <cellStyle name="0.0%" xfId="6" xr:uid="{00000000-0005-0000-0000-000005000000}"/>
    <cellStyle name="0.0% 2" xfId="7" xr:uid="{00000000-0005-0000-0000-000006000000}"/>
    <cellStyle name="0.00%" xfId="8" xr:uid="{00000000-0005-0000-0000-000007000000}"/>
    <cellStyle name="0.00% 2" xfId="9" xr:uid="{00000000-0005-0000-0000-000008000000}"/>
    <cellStyle name="00" xfId="10" xr:uid="{00000000-0005-0000-0000-000009000000}"/>
    <cellStyle name="00 2" xfId="11" xr:uid="{00000000-0005-0000-0000-00000A000000}"/>
    <cellStyle name="AA FRAME" xfId="12" xr:uid="{00000000-0005-0000-0000-00000B000000}"/>
    <cellStyle name="AA HEADING" xfId="13" xr:uid="{00000000-0005-0000-0000-00000C000000}"/>
    <cellStyle name="AA INITIALS" xfId="14" xr:uid="{00000000-0005-0000-0000-00000D000000}"/>
    <cellStyle name="AA INPUT" xfId="15" xr:uid="{00000000-0005-0000-0000-00000E000000}"/>
    <cellStyle name="AA LOCK" xfId="16" xr:uid="{00000000-0005-0000-0000-00000F000000}"/>
    <cellStyle name="AA MGR NAME" xfId="17" xr:uid="{00000000-0005-0000-0000-000010000000}"/>
    <cellStyle name="AA NORMAL" xfId="18" xr:uid="{00000000-0005-0000-0000-000011000000}"/>
    <cellStyle name="AA NUMBER" xfId="19" xr:uid="{00000000-0005-0000-0000-000012000000}"/>
    <cellStyle name="AA NUMBER2" xfId="20" xr:uid="{00000000-0005-0000-0000-000013000000}"/>
    <cellStyle name="AA QUESTION" xfId="21" xr:uid="{00000000-0005-0000-0000-000014000000}"/>
    <cellStyle name="AA SHADE" xfId="22" xr:uid="{00000000-0005-0000-0000-000015000000}"/>
    <cellStyle name="Accent1" xfId="23" xr:uid="{00000000-0005-0000-0000-000016000000}"/>
    <cellStyle name="Accent1 - 20%" xfId="24" xr:uid="{00000000-0005-0000-0000-000017000000}"/>
    <cellStyle name="Accent1 - 20% 2" xfId="25" xr:uid="{00000000-0005-0000-0000-000018000000}"/>
    <cellStyle name="Accent1 - 40%" xfId="26" xr:uid="{00000000-0005-0000-0000-000019000000}"/>
    <cellStyle name="Accent1 - 40% 2" xfId="27" xr:uid="{00000000-0005-0000-0000-00001A000000}"/>
    <cellStyle name="Accent1 - 60%" xfId="28" xr:uid="{00000000-0005-0000-0000-00001B000000}"/>
    <cellStyle name="Accent1 - 60% 2" xfId="29" xr:uid="{00000000-0005-0000-0000-00001C000000}"/>
    <cellStyle name="Accent1 2" xfId="30" xr:uid="{00000000-0005-0000-0000-00001D000000}"/>
    <cellStyle name="Accent2" xfId="31" xr:uid="{00000000-0005-0000-0000-00001E000000}"/>
    <cellStyle name="Accent2 - 20%" xfId="32" xr:uid="{00000000-0005-0000-0000-00001F000000}"/>
    <cellStyle name="Accent2 - 20% 2" xfId="33" xr:uid="{00000000-0005-0000-0000-000020000000}"/>
    <cellStyle name="Accent2 - 40%" xfId="34" xr:uid="{00000000-0005-0000-0000-000021000000}"/>
    <cellStyle name="Accent2 - 40% 2" xfId="35" xr:uid="{00000000-0005-0000-0000-000022000000}"/>
    <cellStyle name="Accent2 - 60%" xfId="36" xr:uid="{00000000-0005-0000-0000-000023000000}"/>
    <cellStyle name="Accent2 - 60% 2" xfId="37" xr:uid="{00000000-0005-0000-0000-000024000000}"/>
    <cellStyle name="Accent2 2" xfId="38" xr:uid="{00000000-0005-0000-0000-000025000000}"/>
    <cellStyle name="Accent3" xfId="39" xr:uid="{00000000-0005-0000-0000-000026000000}"/>
    <cellStyle name="Accent3 - 20%" xfId="40" xr:uid="{00000000-0005-0000-0000-000027000000}"/>
    <cellStyle name="Accent3 - 20% 2" xfId="41" xr:uid="{00000000-0005-0000-0000-000028000000}"/>
    <cellStyle name="Accent3 - 40%" xfId="42" xr:uid="{00000000-0005-0000-0000-000029000000}"/>
    <cellStyle name="Accent3 - 40% 2" xfId="43" xr:uid="{00000000-0005-0000-0000-00002A000000}"/>
    <cellStyle name="Accent3 - 60%" xfId="44" xr:uid="{00000000-0005-0000-0000-00002B000000}"/>
    <cellStyle name="Accent3 - 60% 2" xfId="45" xr:uid="{00000000-0005-0000-0000-00002C000000}"/>
    <cellStyle name="Accent3 2" xfId="46" xr:uid="{00000000-0005-0000-0000-00002D000000}"/>
    <cellStyle name="Accent4" xfId="47" xr:uid="{00000000-0005-0000-0000-00002E000000}"/>
    <cellStyle name="Accent4 - 20%" xfId="48" xr:uid="{00000000-0005-0000-0000-00002F000000}"/>
    <cellStyle name="Accent4 - 20% 2" xfId="49" xr:uid="{00000000-0005-0000-0000-000030000000}"/>
    <cellStyle name="Accent4 - 40%" xfId="50" xr:uid="{00000000-0005-0000-0000-000031000000}"/>
    <cellStyle name="Accent4 - 40% 2" xfId="51" xr:uid="{00000000-0005-0000-0000-000032000000}"/>
    <cellStyle name="Accent4 - 60%" xfId="52" xr:uid="{00000000-0005-0000-0000-000033000000}"/>
    <cellStyle name="Accent4 - 60% 2" xfId="53" xr:uid="{00000000-0005-0000-0000-000034000000}"/>
    <cellStyle name="Accent4 2" xfId="54" xr:uid="{00000000-0005-0000-0000-000035000000}"/>
    <cellStyle name="Accent5" xfId="55" xr:uid="{00000000-0005-0000-0000-000036000000}"/>
    <cellStyle name="Accent5 - 20%" xfId="56" xr:uid="{00000000-0005-0000-0000-000037000000}"/>
    <cellStyle name="Accent5 - 20% 2" xfId="57" xr:uid="{00000000-0005-0000-0000-000038000000}"/>
    <cellStyle name="Accent5 - 40%" xfId="58" xr:uid="{00000000-0005-0000-0000-000039000000}"/>
    <cellStyle name="Accent5 - 40% 2" xfId="59" xr:uid="{00000000-0005-0000-0000-00003A000000}"/>
    <cellStyle name="Accent5 - 60%" xfId="60" xr:uid="{00000000-0005-0000-0000-00003B000000}"/>
    <cellStyle name="Accent5 - 60% 2" xfId="61" xr:uid="{00000000-0005-0000-0000-00003C000000}"/>
    <cellStyle name="Accent5 2" xfId="62" xr:uid="{00000000-0005-0000-0000-00003D000000}"/>
    <cellStyle name="Accent6" xfId="63" xr:uid="{00000000-0005-0000-0000-00003E000000}"/>
    <cellStyle name="Accent6 - 20%" xfId="64" xr:uid="{00000000-0005-0000-0000-00003F000000}"/>
    <cellStyle name="Accent6 - 20% 2" xfId="65" xr:uid="{00000000-0005-0000-0000-000040000000}"/>
    <cellStyle name="Accent6 - 40%" xfId="66" xr:uid="{00000000-0005-0000-0000-000041000000}"/>
    <cellStyle name="Accent6 - 40% 2" xfId="67" xr:uid="{00000000-0005-0000-0000-000042000000}"/>
    <cellStyle name="Accent6 - 60%" xfId="68" xr:uid="{00000000-0005-0000-0000-000043000000}"/>
    <cellStyle name="Accent6 - 60% 2" xfId="69" xr:uid="{00000000-0005-0000-0000-000044000000}"/>
    <cellStyle name="Accent6 2" xfId="70" xr:uid="{00000000-0005-0000-0000-000045000000}"/>
    <cellStyle name="args.style" xfId="71" xr:uid="{00000000-0005-0000-0000-000046000000}"/>
    <cellStyle name="Calc Currency (0)" xfId="72" xr:uid="{00000000-0005-0000-0000-000047000000}"/>
    <cellStyle name="Calc Currency (0) 2" xfId="73" xr:uid="{00000000-0005-0000-0000-000048000000}"/>
    <cellStyle name="Calc Currency (2)" xfId="74" xr:uid="{00000000-0005-0000-0000-000049000000}"/>
    <cellStyle name="Calc Percent (0)" xfId="75" xr:uid="{00000000-0005-0000-0000-00004A000000}"/>
    <cellStyle name="Calc Percent (1)" xfId="76" xr:uid="{00000000-0005-0000-0000-00004B000000}"/>
    <cellStyle name="Calc Percent (2)" xfId="77" xr:uid="{00000000-0005-0000-0000-00004C000000}"/>
    <cellStyle name="Calc Units (0)" xfId="78" xr:uid="{00000000-0005-0000-0000-00004D000000}"/>
    <cellStyle name="Calc Units (1)" xfId="79" xr:uid="{00000000-0005-0000-0000-00004E000000}"/>
    <cellStyle name="Calc Units (2)" xfId="80" xr:uid="{00000000-0005-0000-0000-00004F000000}"/>
    <cellStyle name="category" xfId="81" xr:uid="{00000000-0005-0000-0000-000050000000}"/>
    <cellStyle name="category 2" xfId="82" xr:uid="{00000000-0005-0000-0000-000051000000}"/>
    <cellStyle name="Col Heads" xfId="83" xr:uid="{00000000-0005-0000-0000-000052000000}"/>
    <cellStyle name="Col Heads 2" xfId="84" xr:uid="{00000000-0005-0000-0000-000053000000}"/>
    <cellStyle name="Column_Title" xfId="85" xr:uid="{00000000-0005-0000-0000-000054000000}"/>
    <cellStyle name="Comma  - Style1" xfId="86" xr:uid="{00000000-0005-0000-0000-000055000000}"/>
    <cellStyle name="Comma  - Style1 2" xfId="87" xr:uid="{00000000-0005-0000-0000-000056000000}"/>
    <cellStyle name="Comma  - Style2" xfId="88" xr:uid="{00000000-0005-0000-0000-000057000000}"/>
    <cellStyle name="Comma  - Style2 2" xfId="89" xr:uid="{00000000-0005-0000-0000-000058000000}"/>
    <cellStyle name="Comma  - Style3" xfId="90" xr:uid="{00000000-0005-0000-0000-000059000000}"/>
    <cellStyle name="Comma  - Style3 2" xfId="91" xr:uid="{00000000-0005-0000-0000-00005A000000}"/>
    <cellStyle name="Comma  - Style4" xfId="92" xr:uid="{00000000-0005-0000-0000-00005B000000}"/>
    <cellStyle name="Comma  - Style4 2" xfId="93" xr:uid="{00000000-0005-0000-0000-00005C000000}"/>
    <cellStyle name="Comma  - Style5" xfId="94" xr:uid="{00000000-0005-0000-0000-00005D000000}"/>
    <cellStyle name="Comma  - Style5 2" xfId="95" xr:uid="{00000000-0005-0000-0000-00005E000000}"/>
    <cellStyle name="Comma  - Style6" xfId="96" xr:uid="{00000000-0005-0000-0000-00005F000000}"/>
    <cellStyle name="Comma  - Style6 2" xfId="97" xr:uid="{00000000-0005-0000-0000-000060000000}"/>
    <cellStyle name="Comma  - Style7" xfId="98" xr:uid="{00000000-0005-0000-0000-000061000000}"/>
    <cellStyle name="Comma  - Style7 2" xfId="99" xr:uid="{00000000-0005-0000-0000-000062000000}"/>
    <cellStyle name="Comma  - Style8" xfId="100" xr:uid="{00000000-0005-0000-0000-000063000000}"/>
    <cellStyle name="Comma  - Style8 2" xfId="101" xr:uid="{00000000-0005-0000-0000-000064000000}"/>
    <cellStyle name="Comma [0]" xfId="102" xr:uid="{00000000-0005-0000-0000-000065000000}"/>
    <cellStyle name="Comma [00]" xfId="103" xr:uid="{00000000-0005-0000-0000-000066000000}"/>
    <cellStyle name="comma zerodec" xfId="104" xr:uid="{00000000-0005-0000-0000-000067000000}"/>
    <cellStyle name="comma zerodec 2" xfId="105" xr:uid="{00000000-0005-0000-0000-000068000000}"/>
    <cellStyle name="Comma,0" xfId="106" xr:uid="{00000000-0005-0000-0000-000069000000}"/>
    <cellStyle name="Comma,0 2" xfId="107" xr:uid="{00000000-0005-0000-0000-00006A000000}"/>
    <cellStyle name="Comma,1" xfId="108" xr:uid="{00000000-0005-0000-0000-00006B000000}"/>
    <cellStyle name="Comma,1 2" xfId="109" xr:uid="{00000000-0005-0000-0000-00006C000000}"/>
    <cellStyle name="Comma,2" xfId="110" xr:uid="{00000000-0005-0000-0000-00006D000000}"/>
    <cellStyle name="Comma,2 2" xfId="111" xr:uid="{00000000-0005-0000-0000-00006E000000}"/>
    <cellStyle name="Comma_ SG&amp;A Bridge " xfId="112" xr:uid="{00000000-0005-0000-0000-00006F000000}"/>
    <cellStyle name="Copied" xfId="113" xr:uid="{00000000-0005-0000-0000-000070000000}"/>
    <cellStyle name="COST1" xfId="114" xr:uid="{00000000-0005-0000-0000-000071000000}"/>
    <cellStyle name="Currency [0]" xfId="115" xr:uid="{00000000-0005-0000-0000-000072000000}"/>
    <cellStyle name="Currency [00]" xfId="116" xr:uid="{00000000-0005-0000-0000-000073000000}"/>
    <cellStyle name="Currency,0" xfId="117" xr:uid="{00000000-0005-0000-0000-000074000000}"/>
    <cellStyle name="Currency,0 2" xfId="118" xr:uid="{00000000-0005-0000-0000-000075000000}"/>
    <cellStyle name="Currency,2" xfId="119" xr:uid="{00000000-0005-0000-0000-000076000000}"/>
    <cellStyle name="Currency,2 2" xfId="120" xr:uid="{00000000-0005-0000-0000-000077000000}"/>
    <cellStyle name="Currency_ SG&amp;A Bridge " xfId="121" xr:uid="{00000000-0005-0000-0000-000078000000}"/>
    <cellStyle name="Currency1" xfId="122" xr:uid="{00000000-0005-0000-0000-000079000000}"/>
    <cellStyle name="Currency1 2" xfId="123" xr:uid="{00000000-0005-0000-0000-00007A000000}"/>
    <cellStyle name="Date" xfId="124" xr:uid="{00000000-0005-0000-0000-00007B000000}"/>
    <cellStyle name="Date Short" xfId="125" xr:uid="{00000000-0005-0000-0000-00007C000000}"/>
    <cellStyle name="Date_capinves" xfId="126" xr:uid="{00000000-0005-0000-0000-00007D000000}"/>
    <cellStyle name="Dezimal [0]_results" xfId="127" xr:uid="{00000000-0005-0000-0000-00007E000000}"/>
    <cellStyle name="Dezimal_results" xfId="128" xr:uid="{00000000-0005-0000-0000-00007F000000}"/>
    <cellStyle name="Dollar (zero dec)" xfId="129" xr:uid="{00000000-0005-0000-0000-000080000000}"/>
    <cellStyle name="Dollar (zero dec) 2" xfId="130" xr:uid="{00000000-0005-0000-0000-000081000000}"/>
    <cellStyle name="Enter Currency (0)" xfId="131" xr:uid="{00000000-0005-0000-0000-000082000000}"/>
    <cellStyle name="Enter Currency (2)" xfId="132" xr:uid="{00000000-0005-0000-0000-000083000000}"/>
    <cellStyle name="Enter Units (0)" xfId="133" xr:uid="{00000000-0005-0000-0000-000084000000}"/>
    <cellStyle name="Enter Units (1)" xfId="134" xr:uid="{00000000-0005-0000-0000-000085000000}"/>
    <cellStyle name="Enter Units (2)" xfId="135" xr:uid="{00000000-0005-0000-0000-000086000000}"/>
    <cellStyle name="Entered" xfId="136" xr:uid="{00000000-0005-0000-0000-000087000000}"/>
    <cellStyle name="entry" xfId="137" xr:uid="{00000000-0005-0000-0000-000088000000}"/>
    <cellStyle name="entry 2" xfId="138" xr:uid="{00000000-0005-0000-0000-000089000000}"/>
    <cellStyle name="entry box" xfId="139" xr:uid="{00000000-0005-0000-0000-00008A000000}"/>
    <cellStyle name="entry box 2" xfId="140" xr:uid="{00000000-0005-0000-0000-00008B000000}"/>
    <cellStyle name="Euro" xfId="141" xr:uid="{00000000-0005-0000-0000-00008C000000}"/>
    <cellStyle name="Euro 2" xfId="142" xr:uid="{00000000-0005-0000-0000-00008D000000}"/>
    <cellStyle name="F2" xfId="143" xr:uid="{00000000-0005-0000-0000-00008E000000}"/>
    <cellStyle name="F3" xfId="144" xr:uid="{00000000-0005-0000-0000-00008F000000}"/>
    <cellStyle name="F4" xfId="145" xr:uid="{00000000-0005-0000-0000-000090000000}"/>
    <cellStyle name="F5" xfId="146" xr:uid="{00000000-0005-0000-0000-000091000000}"/>
    <cellStyle name="F6" xfId="147" xr:uid="{00000000-0005-0000-0000-000092000000}"/>
    <cellStyle name="F7" xfId="148" xr:uid="{00000000-0005-0000-0000-000093000000}"/>
    <cellStyle name="F8" xfId="149" xr:uid="{00000000-0005-0000-0000-000094000000}"/>
    <cellStyle name="Fixed" xfId="150" xr:uid="{00000000-0005-0000-0000-000095000000}"/>
    <cellStyle name="Grey" xfId="151" xr:uid="{00000000-0005-0000-0000-000096000000}"/>
    <cellStyle name="Grey 2" xfId="152" xr:uid="{00000000-0005-0000-0000-000097000000}"/>
    <cellStyle name="HEADER" xfId="153" xr:uid="{00000000-0005-0000-0000-000098000000}"/>
    <cellStyle name="HEADER 2" xfId="154" xr:uid="{00000000-0005-0000-0000-000099000000}"/>
    <cellStyle name="Header1" xfId="155" xr:uid="{00000000-0005-0000-0000-00009A000000}"/>
    <cellStyle name="Header2" xfId="156" xr:uid="{00000000-0005-0000-0000-00009B000000}"/>
    <cellStyle name="Heading1" xfId="157" xr:uid="{00000000-0005-0000-0000-00009C000000}"/>
    <cellStyle name="Heading2" xfId="158" xr:uid="{00000000-0005-0000-0000-00009D000000}"/>
    <cellStyle name="Hyperlink_PERSONAL" xfId="159" xr:uid="{00000000-0005-0000-0000-00009E000000}"/>
    <cellStyle name="Input [yellow]" xfId="160" xr:uid="{00000000-0005-0000-0000-00009F000000}"/>
    <cellStyle name="Input [yellow] 2" xfId="161" xr:uid="{00000000-0005-0000-0000-0000A0000000}"/>
    <cellStyle name="Input Cells" xfId="162" xr:uid="{00000000-0005-0000-0000-0000A1000000}"/>
    <cellStyle name="Link Currency (0)" xfId="163" xr:uid="{00000000-0005-0000-0000-0000A2000000}"/>
    <cellStyle name="Link Currency (2)" xfId="164" xr:uid="{00000000-0005-0000-0000-0000A3000000}"/>
    <cellStyle name="Link Units (0)" xfId="165" xr:uid="{00000000-0005-0000-0000-0000A4000000}"/>
    <cellStyle name="Link Units (1)" xfId="166" xr:uid="{00000000-0005-0000-0000-0000A5000000}"/>
    <cellStyle name="Link Units (2)" xfId="167" xr:uid="{00000000-0005-0000-0000-0000A6000000}"/>
    <cellStyle name="Linked Cells" xfId="168" xr:uid="{00000000-0005-0000-0000-0000A7000000}"/>
    <cellStyle name="Milliers [0]_!!!GO" xfId="169" xr:uid="{00000000-0005-0000-0000-0000A8000000}"/>
    <cellStyle name="Milliers_!!!GO" xfId="170" xr:uid="{00000000-0005-0000-0000-0000A9000000}"/>
    <cellStyle name="Model" xfId="171" xr:uid="{00000000-0005-0000-0000-0000AA000000}"/>
    <cellStyle name="Model 2" xfId="172" xr:uid="{00000000-0005-0000-0000-0000AB000000}"/>
    <cellStyle name="Monétaire [0]_!!!GO" xfId="173" xr:uid="{00000000-0005-0000-0000-0000AC000000}"/>
    <cellStyle name="Monétaire_!!!GO" xfId="174" xr:uid="{00000000-0005-0000-0000-0000AD000000}"/>
    <cellStyle name="Normal - Style1" xfId="175" xr:uid="{00000000-0005-0000-0000-0000AE000000}"/>
    <cellStyle name="Normal - Style1 2" xfId="176" xr:uid="{00000000-0005-0000-0000-0000AF000000}"/>
    <cellStyle name="Normal_ SG&amp;A Bridge " xfId="177" xr:uid="{00000000-0005-0000-0000-0000B0000000}"/>
    <cellStyle name="Normalny_Arkusz1" xfId="178" xr:uid="{00000000-0005-0000-0000-0000B1000000}"/>
    <cellStyle name="Œ…‹æØ‚è [0.00]_Region Orders (2)" xfId="179" xr:uid="{00000000-0005-0000-0000-0000B2000000}"/>
    <cellStyle name="Œ…‹æØ‚è_Region Orders (2)" xfId="180" xr:uid="{00000000-0005-0000-0000-0000B3000000}"/>
    <cellStyle name="per.style" xfId="181" xr:uid="{00000000-0005-0000-0000-0000B4000000}"/>
    <cellStyle name="Percent [0]" xfId="182" xr:uid="{00000000-0005-0000-0000-0000B5000000}"/>
    <cellStyle name="Percent [00]" xfId="183" xr:uid="{00000000-0005-0000-0000-0000B6000000}"/>
    <cellStyle name="Percent [2]" xfId="184" xr:uid="{00000000-0005-0000-0000-0000B7000000}"/>
    <cellStyle name="Percent [2] 2" xfId="185" xr:uid="{00000000-0005-0000-0000-0000B8000000}"/>
    <cellStyle name="Percent_!!!GO" xfId="186" xr:uid="{00000000-0005-0000-0000-0000B9000000}"/>
    <cellStyle name="Pourcentage_pldt" xfId="187" xr:uid="{00000000-0005-0000-0000-0000BA000000}"/>
    <cellStyle name="Prefilled" xfId="188" xr:uid="{00000000-0005-0000-0000-0000BB000000}"/>
    <cellStyle name="Prefilled 2" xfId="189" xr:uid="{00000000-0005-0000-0000-0000BC000000}"/>
    <cellStyle name="PrePop Currency (0)" xfId="190" xr:uid="{00000000-0005-0000-0000-0000BD000000}"/>
    <cellStyle name="PrePop Currency (2)" xfId="191" xr:uid="{00000000-0005-0000-0000-0000BE000000}"/>
    <cellStyle name="PrePop Units (0)" xfId="192" xr:uid="{00000000-0005-0000-0000-0000BF000000}"/>
    <cellStyle name="PrePop Units (1)" xfId="193" xr:uid="{00000000-0005-0000-0000-0000C0000000}"/>
    <cellStyle name="PrePop Units (2)" xfId="194" xr:uid="{00000000-0005-0000-0000-0000C1000000}"/>
    <cellStyle name="price" xfId="195" xr:uid="{00000000-0005-0000-0000-0000C2000000}"/>
    <cellStyle name="price 2" xfId="196" xr:uid="{00000000-0005-0000-0000-0000C3000000}"/>
    <cellStyle name="pricing" xfId="197" xr:uid="{00000000-0005-0000-0000-0000C4000000}"/>
    <cellStyle name="PSChar" xfId="198" xr:uid="{00000000-0005-0000-0000-0000C5000000}"/>
    <cellStyle name="PSHeading" xfId="199" xr:uid="{00000000-0005-0000-0000-0000C6000000}"/>
    <cellStyle name="revised" xfId="200" xr:uid="{00000000-0005-0000-0000-0000C7000000}"/>
    <cellStyle name="revised 2" xfId="201" xr:uid="{00000000-0005-0000-0000-0000C8000000}"/>
    <cellStyle name="RevList" xfId="202" xr:uid="{00000000-0005-0000-0000-0000C9000000}"/>
    <cellStyle name="row_def_array" xfId="203" xr:uid="{00000000-0005-0000-0000-0000CA000000}"/>
    <cellStyle name="SAPBEXaggData" xfId="204" xr:uid="{00000000-0005-0000-0000-0000CB000000}"/>
    <cellStyle name="SAPBEXaggData 2" xfId="205" xr:uid="{00000000-0005-0000-0000-0000CC000000}"/>
    <cellStyle name="SAPBEXaggDataEmph" xfId="206" xr:uid="{00000000-0005-0000-0000-0000CD000000}"/>
    <cellStyle name="SAPBEXaggDataEmph 2" xfId="207" xr:uid="{00000000-0005-0000-0000-0000CE000000}"/>
    <cellStyle name="SAPBEXaggItem" xfId="208" xr:uid="{00000000-0005-0000-0000-0000CF000000}"/>
    <cellStyle name="SAPBEXaggItem 2" xfId="209" xr:uid="{00000000-0005-0000-0000-0000D0000000}"/>
    <cellStyle name="SAPBEXaggItemX" xfId="210" xr:uid="{00000000-0005-0000-0000-0000D1000000}"/>
    <cellStyle name="SAPBEXchaText" xfId="211" xr:uid="{00000000-0005-0000-0000-0000D2000000}"/>
    <cellStyle name="SAPBEXchaText 2" xfId="212" xr:uid="{00000000-0005-0000-0000-0000D3000000}"/>
    <cellStyle name="SAPBEXexcBad7" xfId="213" xr:uid="{00000000-0005-0000-0000-0000D4000000}"/>
    <cellStyle name="SAPBEXexcBad7 2" xfId="214" xr:uid="{00000000-0005-0000-0000-0000D5000000}"/>
    <cellStyle name="SAPBEXexcBad8" xfId="215" xr:uid="{00000000-0005-0000-0000-0000D6000000}"/>
    <cellStyle name="SAPBEXexcBad8 2" xfId="216" xr:uid="{00000000-0005-0000-0000-0000D7000000}"/>
    <cellStyle name="SAPBEXexcBad9" xfId="217" xr:uid="{00000000-0005-0000-0000-0000D8000000}"/>
    <cellStyle name="SAPBEXexcBad9 2" xfId="218" xr:uid="{00000000-0005-0000-0000-0000D9000000}"/>
    <cellStyle name="SAPBEXexcCritical4" xfId="219" xr:uid="{00000000-0005-0000-0000-0000DA000000}"/>
    <cellStyle name="SAPBEXexcCritical4 2" xfId="220" xr:uid="{00000000-0005-0000-0000-0000DB000000}"/>
    <cellStyle name="SAPBEXexcCritical5" xfId="221" xr:uid="{00000000-0005-0000-0000-0000DC000000}"/>
    <cellStyle name="SAPBEXexcCritical5 2" xfId="222" xr:uid="{00000000-0005-0000-0000-0000DD000000}"/>
    <cellStyle name="SAPBEXexcCritical6" xfId="223" xr:uid="{00000000-0005-0000-0000-0000DE000000}"/>
    <cellStyle name="SAPBEXexcCritical6 2" xfId="224" xr:uid="{00000000-0005-0000-0000-0000DF000000}"/>
    <cellStyle name="SAPBEXexcGood1" xfId="225" xr:uid="{00000000-0005-0000-0000-0000E0000000}"/>
    <cellStyle name="SAPBEXexcGood1 2" xfId="226" xr:uid="{00000000-0005-0000-0000-0000E1000000}"/>
    <cellStyle name="SAPBEXexcGood2" xfId="227" xr:uid="{00000000-0005-0000-0000-0000E2000000}"/>
    <cellStyle name="SAPBEXexcGood2 2" xfId="228" xr:uid="{00000000-0005-0000-0000-0000E3000000}"/>
    <cellStyle name="SAPBEXexcGood3" xfId="229" xr:uid="{00000000-0005-0000-0000-0000E4000000}"/>
    <cellStyle name="SAPBEXexcGood3 2" xfId="230" xr:uid="{00000000-0005-0000-0000-0000E5000000}"/>
    <cellStyle name="SAPBEXfilterDrill" xfId="231" xr:uid="{00000000-0005-0000-0000-0000E6000000}"/>
    <cellStyle name="SAPBEXfilterDrill 2" xfId="232" xr:uid="{00000000-0005-0000-0000-0000E7000000}"/>
    <cellStyle name="SAPBEXfilterItem" xfId="233" xr:uid="{00000000-0005-0000-0000-0000E8000000}"/>
    <cellStyle name="SAPBEXfilterItem 2" xfId="234" xr:uid="{00000000-0005-0000-0000-0000E9000000}"/>
    <cellStyle name="SAPBEXfilterText" xfId="235" xr:uid="{00000000-0005-0000-0000-0000EA000000}"/>
    <cellStyle name="SAPBEXfilterText 2" xfId="236" xr:uid="{00000000-0005-0000-0000-0000EB000000}"/>
    <cellStyle name="SAPBEXformats" xfId="237" xr:uid="{00000000-0005-0000-0000-0000EC000000}"/>
    <cellStyle name="SAPBEXformats 2" xfId="238" xr:uid="{00000000-0005-0000-0000-0000ED000000}"/>
    <cellStyle name="SAPBEXheaderItem" xfId="239" xr:uid="{00000000-0005-0000-0000-0000EE000000}"/>
    <cellStyle name="SAPBEXheaderItem 2" xfId="240" xr:uid="{00000000-0005-0000-0000-0000EF000000}"/>
    <cellStyle name="SAPBEXheaderText" xfId="241" xr:uid="{00000000-0005-0000-0000-0000F0000000}"/>
    <cellStyle name="SAPBEXheaderText 2" xfId="242" xr:uid="{00000000-0005-0000-0000-0000F1000000}"/>
    <cellStyle name="SAPBEXHLevel0" xfId="243" xr:uid="{00000000-0005-0000-0000-0000F2000000}"/>
    <cellStyle name="SAPBEXHLevel0X" xfId="244" xr:uid="{00000000-0005-0000-0000-0000F3000000}"/>
    <cellStyle name="SAPBEXHLevel1" xfId="245" xr:uid="{00000000-0005-0000-0000-0000F4000000}"/>
    <cellStyle name="SAPBEXHLevel1X" xfId="246" xr:uid="{00000000-0005-0000-0000-0000F5000000}"/>
    <cellStyle name="SAPBEXHLevel2" xfId="247" xr:uid="{00000000-0005-0000-0000-0000F6000000}"/>
    <cellStyle name="SAPBEXHLevel2X" xfId="248" xr:uid="{00000000-0005-0000-0000-0000F7000000}"/>
    <cellStyle name="SAPBEXHLevel3" xfId="249" xr:uid="{00000000-0005-0000-0000-0000F8000000}"/>
    <cellStyle name="SAPBEXHLevel3X" xfId="250" xr:uid="{00000000-0005-0000-0000-0000F9000000}"/>
    <cellStyle name="SAPBEXresData" xfId="251" xr:uid="{00000000-0005-0000-0000-0000FA000000}"/>
    <cellStyle name="SAPBEXresData 2" xfId="252" xr:uid="{00000000-0005-0000-0000-0000FB000000}"/>
    <cellStyle name="SAPBEXresDataEmph" xfId="253" xr:uid="{00000000-0005-0000-0000-0000FC000000}"/>
    <cellStyle name="SAPBEXresDataEmph 2" xfId="254" xr:uid="{00000000-0005-0000-0000-0000FD000000}"/>
    <cellStyle name="SAPBEXresItem" xfId="255" xr:uid="{00000000-0005-0000-0000-0000FE000000}"/>
    <cellStyle name="SAPBEXresItem 2" xfId="256" xr:uid="{00000000-0005-0000-0000-0000FF000000}"/>
    <cellStyle name="SAPBEXresItemX" xfId="257" xr:uid="{00000000-0005-0000-0000-000000010000}"/>
    <cellStyle name="SAPBEXstdData" xfId="258" xr:uid="{00000000-0005-0000-0000-000001010000}"/>
    <cellStyle name="SAPBEXstdData 2" xfId="259" xr:uid="{00000000-0005-0000-0000-000002010000}"/>
    <cellStyle name="SAPBEXstdDataEmph" xfId="260" xr:uid="{00000000-0005-0000-0000-000003010000}"/>
    <cellStyle name="SAPBEXstdDataEmph 2" xfId="261" xr:uid="{00000000-0005-0000-0000-000004010000}"/>
    <cellStyle name="SAPBEXstdItem" xfId="262" xr:uid="{00000000-0005-0000-0000-000005010000}"/>
    <cellStyle name="SAPBEXstdItem 2" xfId="263" xr:uid="{00000000-0005-0000-0000-000006010000}"/>
    <cellStyle name="SAPBEXstdItemX" xfId="264" xr:uid="{00000000-0005-0000-0000-000007010000}"/>
    <cellStyle name="SAPBEXtitle" xfId="265" xr:uid="{00000000-0005-0000-0000-000008010000}"/>
    <cellStyle name="SAPBEXtitle 2" xfId="266" xr:uid="{00000000-0005-0000-0000-000009010000}"/>
    <cellStyle name="SAPBEXundefined" xfId="267" xr:uid="{00000000-0005-0000-0000-00000A010000}"/>
    <cellStyle name="SAPBEXundefined 2" xfId="268" xr:uid="{00000000-0005-0000-0000-00000B010000}"/>
    <cellStyle name="section" xfId="269" xr:uid="{00000000-0005-0000-0000-00000C010000}"/>
    <cellStyle name="section 2" xfId="270" xr:uid="{00000000-0005-0000-0000-00000D010000}"/>
    <cellStyle name="SOR" xfId="271" xr:uid="{00000000-0005-0000-0000-00000E010000}"/>
    <cellStyle name="SOR 2" xfId="272" xr:uid="{00000000-0005-0000-0000-00000F010000}"/>
    <cellStyle name="Standard_AREAS" xfId="273" xr:uid="{00000000-0005-0000-0000-000010010000}"/>
    <cellStyle name="subhead" xfId="274" xr:uid="{00000000-0005-0000-0000-000011010000}"/>
    <cellStyle name="subhead 2" xfId="275" xr:uid="{00000000-0005-0000-0000-000012010000}"/>
    <cellStyle name="Subtotal" xfId="276" xr:uid="{00000000-0005-0000-0000-000013010000}"/>
    <cellStyle name="Text Indent A" xfId="277" xr:uid="{00000000-0005-0000-0000-000014010000}"/>
    <cellStyle name="Text Indent B" xfId="278" xr:uid="{00000000-0005-0000-0000-000015010000}"/>
    <cellStyle name="Text Indent C" xfId="279" xr:uid="{00000000-0005-0000-0000-000016010000}"/>
    <cellStyle name="title" xfId="280" xr:uid="{00000000-0005-0000-0000-000017010000}"/>
    <cellStyle name="title 2" xfId="281" xr:uid="{00000000-0005-0000-0000-000018010000}"/>
    <cellStyle name="Total" xfId="282" xr:uid="{00000000-0005-0000-0000-000019010000}"/>
    <cellStyle name="Tusental (0)_pldt" xfId="283" xr:uid="{00000000-0005-0000-0000-00001A010000}"/>
    <cellStyle name="Tusental_pldt" xfId="284" xr:uid="{00000000-0005-0000-0000-00001B010000}"/>
    <cellStyle name="Valuta (0)_pldt" xfId="285" xr:uid="{00000000-0005-0000-0000-00001C010000}"/>
    <cellStyle name="Valuta_pldt" xfId="286" xr:uid="{00000000-0005-0000-0000-00001D010000}"/>
    <cellStyle name="パーセント_laroux" xfId="287" xr:uid="{00000000-0005-0000-0000-00001E010000}"/>
    <cellStyle name="_PLDT" xfId="288" xr:uid="{00000000-0005-0000-0000-00001F010000}"/>
    <cellStyle name="_laroux" xfId="289" xr:uid="{00000000-0005-0000-0000-000020010000}"/>
    <cellStyle name="だ[0]_PLDT" xfId="290" xr:uid="{00000000-0005-0000-0000-000021010000}"/>
    <cellStyle name="だ_PLDT" xfId="291" xr:uid="{00000000-0005-0000-0000-000022010000}"/>
    <cellStyle name="だ[0]_Total (2)" xfId="292" xr:uid="{00000000-0005-0000-0000-000023010000}"/>
    <cellStyle name="だ_laroux" xfId="293" xr:uid="{00000000-0005-0000-0000-000024010000}"/>
    <cellStyle name="百分比 2" xfId="294" xr:uid="{00000000-0005-0000-0000-000025010000}"/>
    <cellStyle name="百分比 2 2" xfId="295" xr:uid="{00000000-0005-0000-0000-000026010000}"/>
    <cellStyle name="捠壿 [0.00]_PRODUCT DETAIL Q1" xfId="296" xr:uid="{00000000-0005-0000-0000-000027010000}"/>
    <cellStyle name="捠壿_PRODUCT DETAIL Q1" xfId="297" xr:uid="{00000000-0005-0000-0000-000028010000}"/>
    <cellStyle name="標準_１１月価格表" xfId="298" xr:uid="{00000000-0005-0000-0000-000029010000}"/>
    <cellStyle name="表标题" xfId="299" xr:uid="{00000000-0005-0000-0000-00002A010000}"/>
    <cellStyle name="表标题 2" xfId="300" xr:uid="{00000000-0005-0000-0000-00002B010000}"/>
    <cellStyle name="差_10存货" xfId="301" xr:uid="{00000000-0005-0000-0000-00002C010000}"/>
    <cellStyle name="差_10存货 2" xfId="302" xr:uid="{00000000-0005-0000-0000-00002D010000}"/>
    <cellStyle name="差_19-无形资产（空白模板）" xfId="303" xr:uid="{00000000-0005-0000-0000-00002E010000}"/>
    <cellStyle name="差_19-无形资产（空白模板） 2" xfId="304" xr:uid="{00000000-0005-0000-0000-00002F010000}"/>
    <cellStyle name="差_2-交易性金融资产（空白模板）" xfId="305" xr:uid="{00000000-0005-0000-0000-000030010000}"/>
    <cellStyle name="差_2-交易性金融资产（空白模板） 2" xfId="306" xr:uid="{00000000-0005-0000-0000-000031010000}"/>
    <cellStyle name="差_2应收账款" xfId="307" xr:uid="{00000000-0005-0000-0000-000032010000}"/>
    <cellStyle name="差_3-2 进一步审计程序-采购与付款循环" xfId="308" xr:uid="{00000000-0005-0000-0000-000033010000}"/>
    <cellStyle name="差_3-3 进一步审计程序-存货与生产循环" xfId="309" xr:uid="{00000000-0005-0000-0000-000034010000}"/>
    <cellStyle name="差_33-应交税费（空白模板）" xfId="310" xr:uid="{00000000-0005-0000-0000-000035010000}"/>
    <cellStyle name="差_4409 管理费用" xfId="311" xr:uid="{00000000-0005-0000-0000-000036010000}"/>
    <cellStyle name="差_49-营业收入（空白模板）" xfId="312" xr:uid="{00000000-0005-0000-0000-000037010000}"/>
    <cellStyle name="差_49-营业收入（空白模板） 2" xfId="313" xr:uid="{00000000-0005-0000-0000-000038010000}"/>
    <cellStyle name="差_4-应收账款（空白模板）" xfId="314" xr:uid="{00000000-0005-0000-0000-000039010000}"/>
    <cellStyle name="差_4-应收账款（空白模板） 2" xfId="315" xr:uid="{00000000-0005-0000-0000-00003A010000}"/>
    <cellStyle name="差_50-营业成本（空白模板）" xfId="316" xr:uid="{00000000-0005-0000-0000-00003B010000}"/>
    <cellStyle name="差_50-营业成本（空白模板） 2" xfId="317" xr:uid="{00000000-0005-0000-0000-00003C010000}"/>
    <cellStyle name="差_51-营业税金及附加（空白模板）" xfId="318" xr:uid="{00000000-0005-0000-0000-00003D010000}"/>
    <cellStyle name="差_51-营业税金及附加（空白模板） 2" xfId="319" xr:uid="{00000000-0005-0000-0000-00003E010000}"/>
    <cellStyle name="差_54-财务费用（空白模板）" xfId="320" xr:uid="{00000000-0005-0000-0000-00003F010000}"/>
    <cellStyle name="差_54-财务费用（空白模板） 2" xfId="321" xr:uid="{00000000-0005-0000-0000-000040010000}"/>
    <cellStyle name="差_55-资产减值损失（空白模板）" xfId="322" xr:uid="{00000000-0005-0000-0000-000041010000}"/>
    <cellStyle name="差_55-资产减值损失（空白模板） 2" xfId="323" xr:uid="{00000000-0005-0000-0000-000042010000}"/>
    <cellStyle name="差_9管理费用" xfId="324" xr:uid="{00000000-0005-0000-0000-000043010000}"/>
    <cellStyle name="差_9管理费用 2" xfId="325" xr:uid="{00000000-0005-0000-0000-000044010000}"/>
    <cellStyle name="差_Book2" xfId="326" xr:uid="{00000000-0005-0000-0000-000045010000}"/>
    <cellStyle name="差_Book2 2" xfId="327" xr:uid="{00000000-0005-0000-0000-000046010000}"/>
    <cellStyle name="差_dxn底稿目录" xfId="328" xr:uid="{00000000-0005-0000-0000-000047010000}"/>
    <cellStyle name="差_dxn底稿目录 2" xfId="329" xr:uid="{00000000-0005-0000-0000-000048010000}"/>
    <cellStyle name="差_Sheet1" xfId="330" xr:uid="{00000000-0005-0000-0000-000049010000}"/>
    <cellStyle name="差_Sheet1 2" xfId="331" xr:uid="{00000000-0005-0000-0000-00004A010000}"/>
    <cellStyle name="差_ZA0货币资金审定表 " xfId="332" xr:uid="{00000000-0005-0000-0000-00004B010000}"/>
    <cellStyle name="差_ZA0货币资金审定表  2" xfId="333" xr:uid="{00000000-0005-0000-0000-00004C010000}"/>
    <cellStyle name="差_财务费用" xfId="334" xr:uid="{00000000-0005-0000-0000-00004D010000}"/>
    <cellStyle name="差_存货" xfId="335" xr:uid="{00000000-0005-0000-0000-00004E010000}"/>
    <cellStyle name="差_存货 2" xfId="336" xr:uid="{00000000-0005-0000-0000-00004F010000}"/>
    <cellStyle name="差_大信底稿目录" xfId="337" xr:uid="{00000000-0005-0000-0000-000050010000}"/>
    <cellStyle name="差_大信底稿目录 2" xfId="338" xr:uid="{00000000-0005-0000-0000-000051010000}"/>
    <cellStyle name="差_底稿设置宏" xfId="339" xr:uid="{00000000-0005-0000-0000-000052010000}"/>
    <cellStyle name="差_底稿设置宏 2" xfId="340" xr:uid="{00000000-0005-0000-0000-000053010000}"/>
    <cellStyle name="差_短期投资" xfId="341" xr:uid="{00000000-0005-0000-0000-000054010000}"/>
    <cellStyle name="差_固定资产清理" xfId="342" xr:uid="{00000000-0005-0000-0000-000055010000}"/>
    <cellStyle name="差_管理费用" xfId="343" xr:uid="{00000000-0005-0000-0000-000056010000}"/>
    <cellStyle name="差_货币资金" xfId="344" xr:uid="{00000000-0005-0000-0000-000057010000}"/>
    <cellStyle name="差_货币资金 2" xfId="345" xr:uid="{00000000-0005-0000-0000-000058010000}"/>
    <cellStyle name="差_货币资金 天职" xfId="346" xr:uid="{00000000-0005-0000-0000-000059010000}"/>
    <cellStyle name="差_货币资金 天职 2" xfId="347" xr:uid="{00000000-0005-0000-0000-00005A010000}"/>
    <cellStyle name="差_货币资金 岳华" xfId="348" xr:uid="{00000000-0005-0000-0000-00005B010000}"/>
    <cellStyle name="差_货币资金 岳华 2" xfId="349" xr:uid="{00000000-0005-0000-0000-00005C010000}"/>
    <cellStyle name="差_其他应付款" xfId="350" xr:uid="{00000000-0005-0000-0000-00005D010000}"/>
    <cellStyle name="差_其他应付款—YH" xfId="351" xr:uid="{00000000-0005-0000-0000-00005E010000}"/>
    <cellStyle name="差_试算平衡表" xfId="352" xr:uid="{00000000-0005-0000-0000-00005F010000}"/>
    <cellStyle name="差_未分配利润" xfId="353" xr:uid="{00000000-0005-0000-0000-000060010000}"/>
    <cellStyle name="差_无形资产" xfId="354" xr:uid="{00000000-0005-0000-0000-000061010000}"/>
    <cellStyle name="差_无形资产 2" xfId="355" xr:uid="{00000000-0005-0000-0000-000062010000}"/>
    <cellStyle name="差_应付账款" xfId="358" xr:uid="{00000000-0005-0000-0000-000063010000}"/>
    <cellStyle name="差_应付职工薪酬" xfId="359" xr:uid="{00000000-0005-0000-0000-000064010000}"/>
    <cellStyle name="差_应交税金" xfId="360" xr:uid="{00000000-0005-0000-0000-000065010000}"/>
    <cellStyle name="差_应收账款" xfId="361" xr:uid="{00000000-0005-0000-0000-000066010000}"/>
    <cellStyle name="差_应收账款 2" xfId="362" xr:uid="{00000000-0005-0000-0000-000067010000}"/>
    <cellStyle name="差_营业收入" xfId="356" xr:uid="{00000000-0005-0000-0000-000068010000}"/>
    <cellStyle name="差_营业税金及附加" xfId="357" xr:uid="{00000000-0005-0000-0000-000069010000}"/>
    <cellStyle name="差_账项明细表" xfId="363" xr:uid="{00000000-0005-0000-0000-00006A010000}"/>
    <cellStyle name="差_账项明细表 2" xfId="364" xr:uid="{00000000-0005-0000-0000-00006B010000}"/>
    <cellStyle name="常规" xfId="0" builtinId="0"/>
    <cellStyle name="常规 2" xfId="365" xr:uid="{00000000-0005-0000-0000-00006D010000}"/>
    <cellStyle name="常规 2 2" xfId="366" xr:uid="{00000000-0005-0000-0000-00006E010000}"/>
    <cellStyle name="常规 2 2 2" xfId="367" xr:uid="{00000000-0005-0000-0000-00006F010000}"/>
    <cellStyle name="常规 2 3" xfId="368" xr:uid="{00000000-0005-0000-0000-000070010000}"/>
    <cellStyle name="常规 2 4" xfId="369" xr:uid="{00000000-0005-0000-0000-000071010000}"/>
    <cellStyle name="常规 2 5" xfId="370" xr:uid="{00000000-0005-0000-0000-000072010000}"/>
    <cellStyle name="常规 2 6" xfId="371" xr:uid="{00000000-0005-0000-0000-000073010000}"/>
    <cellStyle name="常规 2 7" xfId="372" xr:uid="{00000000-0005-0000-0000-000074010000}"/>
    <cellStyle name="常规 2_10存货" xfId="373" xr:uid="{00000000-0005-0000-0000-000075010000}"/>
    <cellStyle name="常规 3" xfId="374" xr:uid="{00000000-0005-0000-0000-000076010000}"/>
    <cellStyle name="常规 3 2" xfId="375" xr:uid="{00000000-0005-0000-0000-000077010000}"/>
    <cellStyle name="常规 3 2 2" xfId="376" xr:uid="{00000000-0005-0000-0000-000078010000}"/>
    <cellStyle name="常规 3 3" xfId="377" xr:uid="{00000000-0005-0000-0000-000079010000}"/>
    <cellStyle name="常规 3 4" xfId="378" xr:uid="{00000000-0005-0000-0000-00007A010000}"/>
    <cellStyle name="常规 3 5" xfId="379" xr:uid="{00000000-0005-0000-0000-00007B010000}"/>
    <cellStyle name="常规 3 6" xfId="380" xr:uid="{00000000-0005-0000-0000-00007C010000}"/>
    <cellStyle name="常规 3 7" xfId="381" xr:uid="{00000000-0005-0000-0000-00007D010000}"/>
    <cellStyle name="常规 3_10存货" xfId="382" xr:uid="{00000000-0005-0000-0000-00007E010000}"/>
    <cellStyle name="常规 4" xfId="383" xr:uid="{00000000-0005-0000-0000-00007F010000}"/>
    <cellStyle name="常规 4 2" xfId="384" xr:uid="{00000000-0005-0000-0000-000080010000}"/>
    <cellStyle name="常规 5" xfId="385" xr:uid="{00000000-0005-0000-0000-000081010000}"/>
    <cellStyle name="常规 5 2" xfId="386" xr:uid="{00000000-0005-0000-0000-000082010000}"/>
    <cellStyle name="常规 6" xfId="387" xr:uid="{00000000-0005-0000-0000-000083010000}"/>
    <cellStyle name="常规 6 2" xfId="388" xr:uid="{00000000-0005-0000-0000-000084010000}"/>
    <cellStyle name="常规 7" xfId="389" xr:uid="{00000000-0005-0000-0000-000085010000}"/>
    <cellStyle name="常规 8" xfId="390" xr:uid="{00000000-0005-0000-0000-000086010000}"/>
    <cellStyle name="常规_donprint00年度报表" xfId="391" xr:uid="{00000000-0005-0000-0000-000087010000}"/>
    <cellStyle name="常规_附件1：决算表式（后会签稿）--1008" xfId="392" xr:uid="{00000000-0005-0000-0000-000088010000}"/>
    <cellStyle name="超级链接" xfId="393" xr:uid="{00000000-0005-0000-0000-000089010000}"/>
    <cellStyle name="超级链接 2" xfId="394" xr:uid="{00000000-0005-0000-0000-00008A010000}"/>
    <cellStyle name="超级链接_综合类底稿表格" xfId="395" xr:uid="{00000000-0005-0000-0000-00008B010000}"/>
    <cellStyle name="超链接 2" xfId="396" xr:uid="{00000000-0005-0000-0000-00008C010000}"/>
    <cellStyle name="超链接 3" xfId="397" xr:uid="{00000000-0005-0000-0000-00008D010000}"/>
    <cellStyle name="好_01 应交税金" xfId="398" xr:uid="{00000000-0005-0000-0000-00008E010000}"/>
    <cellStyle name="好_10存货" xfId="399" xr:uid="{00000000-0005-0000-0000-00008F010000}"/>
    <cellStyle name="好_10存货 2" xfId="400" xr:uid="{00000000-0005-0000-0000-000090010000}"/>
    <cellStyle name="好_19-无形资产（空白模板）" xfId="401" xr:uid="{00000000-0005-0000-0000-000091010000}"/>
    <cellStyle name="好_19-无形资产（空白模板） 2" xfId="402" xr:uid="{00000000-0005-0000-0000-000092010000}"/>
    <cellStyle name="好_1财务费用" xfId="403" xr:uid="{00000000-0005-0000-0000-000093010000}"/>
    <cellStyle name="好_1财务费用 2" xfId="404" xr:uid="{00000000-0005-0000-0000-000094010000}"/>
    <cellStyle name="好_1营业收入" xfId="405" xr:uid="{00000000-0005-0000-0000-000095010000}"/>
    <cellStyle name="好_1营业收入 2" xfId="406" xr:uid="{00000000-0005-0000-0000-000096010000}"/>
    <cellStyle name="好_1资产减值损失" xfId="407" xr:uid="{00000000-0005-0000-0000-000097010000}"/>
    <cellStyle name="好_1资产减值损失 2" xfId="408" xr:uid="{00000000-0005-0000-0000-000098010000}"/>
    <cellStyle name="好_2-交易性金融资产（空白模板）" xfId="409" xr:uid="{00000000-0005-0000-0000-000099010000}"/>
    <cellStyle name="好_2-交易性金融资产（空白模板） 2" xfId="410" xr:uid="{00000000-0005-0000-0000-00009A010000}"/>
    <cellStyle name="好_2应收账款" xfId="411" xr:uid="{00000000-0005-0000-0000-00009B010000}"/>
    <cellStyle name="好_3-2 进一步审计程序-采购与付款循环" xfId="412" xr:uid="{00000000-0005-0000-0000-00009C010000}"/>
    <cellStyle name="好_3-3 进一步审计程序-存货与生产循环" xfId="413" xr:uid="{00000000-0005-0000-0000-00009D010000}"/>
    <cellStyle name="好_33-应交税费（空白模板）" xfId="414" xr:uid="{00000000-0005-0000-0000-00009E010000}"/>
    <cellStyle name="好_4409 管理费用" xfId="415" xr:uid="{00000000-0005-0000-0000-00009F010000}"/>
    <cellStyle name="好_49-营业收入（空白模板）" xfId="416" xr:uid="{00000000-0005-0000-0000-0000A0010000}"/>
    <cellStyle name="好_49-营业收入（空白模板） 2" xfId="417" xr:uid="{00000000-0005-0000-0000-0000A1010000}"/>
    <cellStyle name="好_4-应收账款（空白模板）" xfId="418" xr:uid="{00000000-0005-0000-0000-0000A2010000}"/>
    <cellStyle name="好_4-应收账款（空白模板） 2" xfId="419" xr:uid="{00000000-0005-0000-0000-0000A3010000}"/>
    <cellStyle name="好_50-营业成本（空白模板）" xfId="420" xr:uid="{00000000-0005-0000-0000-0000A4010000}"/>
    <cellStyle name="好_50-营业成本（空白模板） 2" xfId="421" xr:uid="{00000000-0005-0000-0000-0000A5010000}"/>
    <cellStyle name="好_51-营业税金及附加（空白模板）" xfId="422" xr:uid="{00000000-0005-0000-0000-0000A6010000}"/>
    <cellStyle name="好_51-营业税金及附加（空白模板） 2" xfId="423" xr:uid="{00000000-0005-0000-0000-0000A7010000}"/>
    <cellStyle name="好_54-财务费用（空白模板）" xfId="424" xr:uid="{00000000-0005-0000-0000-0000A8010000}"/>
    <cellStyle name="好_54-财务费用（空白模板） 2" xfId="425" xr:uid="{00000000-0005-0000-0000-0000A9010000}"/>
    <cellStyle name="好_55-资产减值损失（空白模板）" xfId="426" xr:uid="{00000000-0005-0000-0000-0000AA010000}"/>
    <cellStyle name="好_55-资产减值损失（空白模板） 2" xfId="427" xr:uid="{00000000-0005-0000-0000-0000AB010000}"/>
    <cellStyle name="好_9管理费用" xfId="428" xr:uid="{00000000-0005-0000-0000-0000AC010000}"/>
    <cellStyle name="好_9管理费用 2" xfId="429" xr:uid="{00000000-0005-0000-0000-0000AD010000}"/>
    <cellStyle name="好_Book2" xfId="430" xr:uid="{00000000-0005-0000-0000-0000AE010000}"/>
    <cellStyle name="好_Book2 2" xfId="431" xr:uid="{00000000-0005-0000-0000-0000AF010000}"/>
    <cellStyle name="好_Sheet1" xfId="432" xr:uid="{00000000-0005-0000-0000-0000B0010000}"/>
    <cellStyle name="好_Sheet1 2" xfId="433" xr:uid="{00000000-0005-0000-0000-0000B1010000}"/>
    <cellStyle name="好_ZA0货币资金审定表 " xfId="434" xr:uid="{00000000-0005-0000-0000-0000B2010000}"/>
    <cellStyle name="好_ZA0货币资金审定表  2" xfId="435" xr:uid="{00000000-0005-0000-0000-0000B3010000}"/>
    <cellStyle name="好_财务费用" xfId="436" xr:uid="{00000000-0005-0000-0000-0000B4010000}"/>
    <cellStyle name="好_财务费用 2" xfId="437" xr:uid="{00000000-0005-0000-0000-0000B5010000}"/>
    <cellStyle name="好_存货" xfId="438" xr:uid="{00000000-0005-0000-0000-0000B6010000}"/>
    <cellStyle name="好_存货 - 复制" xfId="439" xr:uid="{00000000-0005-0000-0000-0000B7010000}"/>
    <cellStyle name="好_存货 - 复制 2" xfId="440" xr:uid="{00000000-0005-0000-0000-0000B8010000}"/>
    <cellStyle name="好_存货 2" xfId="441" xr:uid="{00000000-0005-0000-0000-0000B9010000}"/>
    <cellStyle name="好_大信底稿目录" xfId="442" xr:uid="{00000000-0005-0000-0000-0000BA010000}"/>
    <cellStyle name="好_大信底稿目录 2" xfId="443" xr:uid="{00000000-0005-0000-0000-0000BB010000}"/>
    <cellStyle name="好_底稿设置宏" xfId="444" xr:uid="{00000000-0005-0000-0000-0000BC010000}"/>
    <cellStyle name="好_底稿设置宏 2" xfId="445" xr:uid="{00000000-0005-0000-0000-0000BD010000}"/>
    <cellStyle name="好_底稿设置宏_大信底稿目录" xfId="446" xr:uid="{00000000-0005-0000-0000-0000BE010000}"/>
    <cellStyle name="好_底稿设置宏_大信底稿目录 2" xfId="447" xr:uid="{00000000-0005-0000-0000-0000BF010000}"/>
    <cellStyle name="好_短期投资" xfId="448" xr:uid="{00000000-0005-0000-0000-0000C0010000}"/>
    <cellStyle name="好_固定资产清理" xfId="449" xr:uid="{00000000-0005-0000-0000-0000C1010000}"/>
    <cellStyle name="好_管理费用" xfId="450" xr:uid="{00000000-0005-0000-0000-0000C2010000}"/>
    <cellStyle name="好_货币资金" xfId="451" xr:uid="{00000000-0005-0000-0000-0000C3010000}"/>
    <cellStyle name="好_货币资金 2" xfId="452" xr:uid="{00000000-0005-0000-0000-0000C4010000}"/>
    <cellStyle name="好_货币资金 天职" xfId="453" xr:uid="{00000000-0005-0000-0000-0000C5010000}"/>
    <cellStyle name="好_货币资金 天职 2" xfId="454" xr:uid="{00000000-0005-0000-0000-0000C6010000}"/>
    <cellStyle name="好_货币资金 岳华" xfId="455" xr:uid="{00000000-0005-0000-0000-0000C7010000}"/>
    <cellStyle name="好_货币资金 岳华 2" xfId="456" xr:uid="{00000000-0005-0000-0000-0000C8010000}"/>
    <cellStyle name="好_其他应付款" xfId="457" xr:uid="{00000000-0005-0000-0000-0000C9010000}"/>
    <cellStyle name="好_其他应付款—YH" xfId="458" xr:uid="{00000000-0005-0000-0000-0000CA010000}"/>
    <cellStyle name="好_实收资本(股本)" xfId="459" xr:uid="{00000000-0005-0000-0000-0000CB010000}"/>
    <cellStyle name="好_实收资本(股本) 2" xfId="460" xr:uid="{00000000-0005-0000-0000-0000CC010000}"/>
    <cellStyle name="好_试算平衡表" xfId="461" xr:uid="{00000000-0005-0000-0000-0000CD010000}"/>
    <cellStyle name="好_未分配利润" xfId="462" xr:uid="{00000000-0005-0000-0000-0000CE010000}"/>
    <cellStyle name="好_未分配利润 2" xfId="463" xr:uid="{00000000-0005-0000-0000-0000CF010000}"/>
    <cellStyle name="好_无形资产" xfId="464" xr:uid="{00000000-0005-0000-0000-0000D0010000}"/>
    <cellStyle name="好_无形资产 2" xfId="465" xr:uid="{00000000-0005-0000-0000-0000D1010000}"/>
    <cellStyle name="好_银行函证结果汇总表" xfId="466" xr:uid="{00000000-0005-0000-0000-0000D2010000}"/>
    <cellStyle name="好_银行函证结果汇总表 2" xfId="467" xr:uid="{00000000-0005-0000-0000-0000D3010000}"/>
    <cellStyle name="好_应付账款" xfId="471" xr:uid="{00000000-0005-0000-0000-0000D4010000}"/>
    <cellStyle name="好_应付职工薪酬" xfId="472" xr:uid="{00000000-0005-0000-0000-0000D5010000}"/>
    <cellStyle name="好_应交税费—TZ" xfId="473" xr:uid="{00000000-0005-0000-0000-0000D6010000}"/>
    <cellStyle name="好_应交税金" xfId="474" xr:uid="{00000000-0005-0000-0000-0000D7010000}"/>
    <cellStyle name="好_应收利息" xfId="475" xr:uid="{00000000-0005-0000-0000-0000D8010000}"/>
    <cellStyle name="好_应收利息 2" xfId="476" xr:uid="{00000000-0005-0000-0000-0000D9010000}"/>
    <cellStyle name="好_应收账款" xfId="477" xr:uid="{00000000-0005-0000-0000-0000DA010000}"/>
    <cellStyle name="好_应收账款 2" xfId="478" xr:uid="{00000000-0005-0000-0000-0000DB010000}"/>
    <cellStyle name="好_营业收入" xfId="468" xr:uid="{00000000-0005-0000-0000-0000DC010000}"/>
    <cellStyle name="好_营业收入 2" xfId="469" xr:uid="{00000000-0005-0000-0000-0000DD010000}"/>
    <cellStyle name="好_营业税金及附加" xfId="470" xr:uid="{00000000-0005-0000-0000-0000DE010000}"/>
    <cellStyle name="好_账项明细表" xfId="479" xr:uid="{00000000-0005-0000-0000-0000DF010000}"/>
    <cellStyle name="好_账项明细表 2" xfId="480" xr:uid="{00000000-0005-0000-0000-0000E0010000}"/>
    <cellStyle name="好_资产负债标准底稿" xfId="481" xr:uid="{00000000-0005-0000-0000-0000E1010000}"/>
    <cellStyle name="好_资产负债标准底稿 2" xfId="482" xr:uid="{00000000-0005-0000-0000-0000E2010000}"/>
    <cellStyle name="好_资产负债标准底稿_大信底稿目录" xfId="483" xr:uid="{00000000-0005-0000-0000-0000E3010000}"/>
    <cellStyle name="好_资产负债标准底稿_大信底稿目录 2" xfId="484" xr:uid="{00000000-0005-0000-0000-0000E4010000}"/>
    <cellStyle name="好_资产负债类底稿模版" xfId="485" xr:uid="{00000000-0005-0000-0000-0000E5010000}"/>
    <cellStyle name="好_资产负债类底稿模版 2" xfId="486" xr:uid="{00000000-0005-0000-0000-0000E6010000}"/>
    <cellStyle name="好_资产负债类底稿模版_大信底稿目录" xfId="487" xr:uid="{00000000-0005-0000-0000-0000E7010000}"/>
    <cellStyle name="好_资产负债类底稿模版_大信底稿目录 2" xfId="488" xr:uid="{00000000-0005-0000-0000-0000E8010000}"/>
    <cellStyle name="好_资产减值损失" xfId="489" xr:uid="{00000000-0005-0000-0000-0000E9010000}"/>
    <cellStyle name="好_资产减值损失 2" xfId="490" xr:uid="{00000000-0005-0000-0000-0000EA010000}"/>
    <cellStyle name="桁区切り [0.00]_１１月価格表" xfId="491" xr:uid="{00000000-0005-0000-0000-0000EB010000}"/>
    <cellStyle name="桁区切り_１１月価格表" xfId="492" xr:uid="{00000000-0005-0000-0000-0000EC010000}"/>
    <cellStyle name="貨幣 [0]_SGV" xfId="493" xr:uid="{00000000-0005-0000-0000-0000ED010000}"/>
    <cellStyle name="貨幣_SGV" xfId="494" xr:uid="{00000000-0005-0000-0000-0000EE010000}"/>
    <cellStyle name="霓付 [0]_1202" xfId="495" xr:uid="{00000000-0005-0000-0000-0000EF010000}"/>
    <cellStyle name="霓付_1202" xfId="496" xr:uid="{00000000-0005-0000-0000-0000F0010000}"/>
    <cellStyle name="妞" xfId="497" xr:uid="{00000000-0005-0000-0000-0000F1010000}"/>
    <cellStyle name="欧" xfId="498" xr:uid="{00000000-0005-0000-0000-0000F2010000}"/>
    <cellStyle name="烹拳 [0]_1202" xfId="499" xr:uid="{00000000-0005-0000-0000-0000F3010000}"/>
    <cellStyle name="烹拳_1202" xfId="500" xr:uid="{00000000-0005-0000-0000-0000F4010000}"/>
    <cellStyle name="砯刽 [0]_PLDT" xfId="501" xr:uid="{00000000-0005-0000-0000-0000F5010000}"/>
    <cellStyle name="砯刽_PLDT" xfId="502" xr:uid="{00000000-0005-0000-0000-0000F6010000}"/>
    <cellStyle name="普通_ 白土" xfId="503" xr:uid="{00000000-0005-0000-0000-0000F7010000}"/>
    <cellStyle name="千分位[0]_ 白土" xfId="504" xr:uid="{00000000-0005-0000-0000-0000F8010000}"/>
    <cellStyle name="千分位_ 白土" xfId="505" xr:uid="{00000000-0005-0000-0000-0000F9010000}"/>
    <cellStyle name="千位[0]_1995" xfId="506" xr:uid="{00000000-0005-0000-0000-0000FA010000}"/>
    <cellStyle name="千位_1995" xfId="507" xr:uid="{00000000-0005-0000-0000-0000FB010000}"/>
    <cellStyle name="千位分隔" xfId="508" builtinId="3"/>
    <cellStyle name="千位分隔 2" xfId="509" xr:uid="{00000000-0005-0000-0000-0000FD010000}"/>
    <cellStyle name="千位分隔 2 2" xfId="510" xr:uid="{00000000-0005-0000-0000-0000FE010000}"/>
    <cellStyle name="千位分隔 2 3" xfId="511" xr:uid="{00000000-0005-0000-0000-0000FF010000}"/>
    <cellStyle name="千位分隔 2 4" xfId="512" xr:uid="{00000000-0005-0000-0000-000000020000}"/>
    <cellStyle name="千位分隔 2 5" xfId="513" xr:uid="{00000000-0005-0000-0000-000001020000}"/>
    <cellStyle name="千位分隔 2 6" xfId="514" xr:uid="{00000000-0005-0000-0000-000002020000}"/>
    <cellStyle name="千位分隔 2 7" xfId="515" xr:uid="{00000000-0005-0000-0000-000003020000}"/>
    <cellStyle name="千位分隔 3" xfId="516" xr:uid="{00000000-0005-0000-0000-000004020000}"/>
    <cellStyle name="千位分隔 3 2" xfId="517" xr:uid="{00000000-0005-0000-0000-000005020000}"/>
    <cellStyle name="千位分隔 3 2 2" xfId="518" xr:uid="{00000000-0005-0000-0000-000006020000}"/>
    <cellStyle name="千位分隔 3 3" xfId="519" xr:uid="{00000000-0005-0000-0000-000007020000}"/>
    <cellStyle name="千位分隔 3 4" xfId="520" xr:uid="{00000000-0005-0000-0000-000008020000}"/>
    <cellStyle name="千位分隔 3 5" xfId="521" xr:uid="{00000000-0005-0000-0000-000009020000}"/>
    <cellStyle name="千位分隔 3 6" xfId="522" xr:uid="{00000000-0005-0000-0000-00000A020000}"/>
    <cellStyle name="千位分隔 3 7" xfId="523" xr:uid="{00000000-0005-0000-0000-00000B020000}"/>
    <cellStyle name="千位分隔 4" xfId="524" xr:uid="{00000000-0005-0000-0000-00000C020000}"/>
    <cellStyle name="千位分隔 4 2" xfId="525" xr:uid="{00000000-0005-0000-0000-00000D020000}"/>
    <cellStyle name="千位分隔 5" xfId="526" xr:uid="{00000000-0005-0000-0000-00000E020000}"/>
    <cellStyle name="千位分隔 5 2" xfId="527" xr:uid="{00000000-0005-0000-0000-00000F020000}"/>
    <cellStyle name="千位分隔[0]" xfId="528" builtinId="6"/>
    <cellStyle name="千位分隔[0] 2" xfId="529" xr:uid="{00000000-0005-0000-0000-000011020000}"/>
    <cellStyle name="千位分隔[0] 2 2" xfId="530" xr:uid="{00000000-0005-0000-0000-000012020000}"/>
    <cellStyle name="千位分隔_donprint00年度报表" xfId="531" xr:uid="{00000000-0005-0000-0000-000013020000}"/>
    <cellStyle name="钎霖_(沥焊何巩)岿喊牢盔拌裙" xfId="532" xr:uid="{00000000-0005-0000-0000-000014020000}"/>
    <cellStyle name="强调 1" xfId="533" xr:uid="{00000000-0005-0000-0000-000015020000}"/>
    <cellStyle name="强调 1 2" xfId="534" xr:uid="{00000000-0005-0000-0000-000016020000}"/>
    <cellStyle name="强调 2" xfId="535" xr:uid="{00000000-0005-0000-0000-000017020000}"/>
    <cellStyle name="强调 2 2" xfId="536" xr:uid="{00000000-0005-0000-0000-000018020000}"/>
    <cellStyle name="强调 3" xfId="537" xr:uid="{00000000-0005-0000-0000-000019020000}"/>
    <cellStyle name="强调 3 2" xfId="538" xr:uid="{00000000-0005-0000-0000-00001A020000}"/>
    <cellStyle name="通貨 [0.00]_１１月価格表" xfId="539" xr:uid="{00000000-0005-0000-0000-00001B020000}"/>
    <cellStyle name="通貨_１１月価格表" xfId="540" xr:uid="{00000000-0005-0000-0000-00001C020000}"/>
    <cellStyle name="样式 1" xfId="541" xr:uid="{00000000-0005-0000-0000-00001D020000}"/>
    <cellStyle name="样式 1 2" xfId="542" xr:uid="{00000000-0005-0000-0000-00001E020000}"/>
    <cellStyle name="一般_SGV" xfId="543" xr:uid="{00000000-0005-0000-0000-00001F020000}"/>
    <cellStyle name="昗弨_BOOKSHIP" xfId="544" xr:uid="{00000000-0005-0000-0000-000020020000}"/>
    <cellStyle name="寘嬫愗傝 [0.00]_PRODUCT DETAIL Q1" xfId="545" xr:uid="{00000000-0005-0000-0000-000021020000}"/>
    <cellStyle name="寘嬫愗傝_PRODUCT DETAIL Q1" xfId="546" xr:uid="{00000000-0005-0000-0000-000022020000}"/>
    <cellStyle name="资产" xfId="547" xr:uid="{00000000-0005-0000-0000-000023020000}"/>
    <cellStyle name="资产 2" xfId="548" xr:uid="{00000000-0005-0000-0000-000024020000}"/>
    <cellStyle name="콤마 [0]_BOILER-CO1" xfId="549" xr:uid="{00000000-0005-0000-0000-000025020000}"/>
    <cellStyle name="콤마_BOILER-CO1" xfId="550" xr:uid="{00000000-0005-0000-0000-000026020000}"/>
    <cellStyle name="통화 [0]_BOILER-CO1" xfId="551" xr:uid="{00000000-0005-0000-0000-000027020000}"/>
    <cellStyle name="통화_BOILER-CO1" xfId="552" xr:uid="{00000000-0005-0000-0000-000028020000}"/>
    <cellStyle name="표준_0N-HANDLING " xfId="553" xr:uid="{00000000-0005-0000-0000-00002902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3458;&#25143;&#36164;&#26009;/&#20027;&#26495;/&#27743;&#33487;&#21556;&#20013;/&#38271;&#24449;&#21046;&#33647;&#21378;/12-31/&#24212;&#25910;&#20184;&#24080;&#4083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iacron/frank/external/CPA%20firm%20document/&#25140;&#26607;&#33635;&#24037;&#20316;&#24213;&#31295;/2010&#24180;&#23457;&#35745;&#39564;&#36164;&#24213;&#31295;/&#23567;&#20225;&#19994;&#24037;&#20316;&#24213;&#31295;/WINDOWS/TEMP/My%20Documents/1999&#24180;&#25253;/&#20013;&#21326;&#20225;&#19994;/&#20013;&#20225;&#26412;&#37096;/&#22266;&#23450;&#36164;&#20135;/&#22266;&#23450;&#36164;&#2013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nna/AppData/Local/Temp/Rar$DIa25840.27861/RecoveredExternalLink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nna/AppData/Local/Temp/Rar$DIa25840.27861/RecoveredExternalLink2"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YS01-01"/>
      <sheetName val="YS02-02"/>
      <sheetName val="YYY"/>
      <sheetName val="TTT"/>
      <sheetName val="封面"/>
      <sheetName val="参数表"/>
      <sheetName val="未审会计报表"/>
      <sheetName val="未审现金流量表"/>
      <sheetName val="审计调整本期"/>
      <sheetName val="审计调整上期"/>
      <sheetName val="试算平衡表本期"/>
      <sheetName val="试算平衡表上期"/>
      <sheetName val="报出资产负债表"/>
      <sheetName val="报出利润表"/>
      <sheetName val="报出现金流量表"/>
      <sheetName val="资产减值准备明细表"/>
      <sheetName val="报表分析  资产负债表"/>
      <sheetName val="报表分析  利润表"/>
      <sheetName val="财务比率分析表"/>
      <sheetName val="基础数据"/>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清单1.1"/>
      <sheetName val="固定资产清单"/>
      <sheetName val="清单12.31"/>
      <sheetName val="变动9901"/>
      <sheetName val="变动9912"/>
      <sheetName val="明细帐"/>
      <sheetName val="房屋建筑"/>
      <sheetName val="汽车"/>
      <sheetName val="机电"/>
      <sheetName val="家具"/>
      <sheetName val="电脑打印机"/>
      <sheetName val="经租机电"/>
      <sheetName val="职工产权房"/>
      <sheetName val="处理-报废"/>
      <sheetName val="处理-其他减少"/>
    </sheetNames>
    <sheetDataSet>
      <sheetData sheetId="0"/>
      <sheetData sheetId="1"/>
      <sheetData sheetId="2">
        <row r="1">
          <cell r="A1" t="str">
            <v>代码</v>
          </cell>
          <cell r="B1" t="str">
            <v>名称</v>
          </cell>
          <cell r="C1" t="str">
            <v>型号</v>
          </cell>
          <cell r="D1" t="str">
            <v>类别</v>
          </cell>
          <cell r="E1" t="str">
            <v>使用部门</v>
          </cell>
          <cell r="F1" t="str">
            <v>使用情况</v>
          </cell>
          <cell r="G1" t="str">
            <v>存放地点</v>
          </cell>
          <cell r="I1" t="str">
            <v>增加方式</v>
          </cell>
          <cell r="J1" t="str">
            <v>折旧方法</v>
          </cell>
          <cell r="K1" t="str">
            <v>预计使用期间(工作总量)</v>
          </cell>
          <cell r="L1" t="str">
            <v>原值</v>
          </cell>
          <cell r="M1" t="str">
            <v>累计折旧</v>
          </cell>
          <cell r="N1" t="str">
            <v>净值</v>
          </cell>
          <cell r="O1" t="str">
            <v>预计净残值</v>
          </cell>
          <cell r="P1" t="str">
            <v>用于折旧计算的原值</v>
          </cell>
          <cell r="Q1" t="str">
            <v>用于折旧计算的预计使用期间(工作总量)</v>
          </cell>
        </row>
        <row r="2">
          <cell r="A2" t="str">
            <v>FW2-1</v>
          </cell>
          <cell r="B2" t="str">
            <v>四平路</v>
          </cell>
          <cell r="D2" t="str">
            <v>房屋及建筑物</v>
          </cell>
          <cell r="E2" t="str">
            <v>总公司</v>
          </cell>
          <cell r="F2" t="str">
            <v>使用中</v>
          </cell>
          <cell r="H2">
            <v>36463</v>
          </cell>
          <cell r="I2" t="str">
            <v>其他增加</v>
          </cell>
          <cell r="J2" t="str">
            <v>平均年限法</v>
          </cell>
          <cell r="K2" t="str">
            <v>360</v>
          </cell>
          <cell r="L2">
            <v>889495.95</v>
          </cell>
          <cell r="M2">
            <v>158182.20000000001</v>
          </cell>
          <cell r="N2">
            <v>731313.75</v>
          </cell>
          <cell r="O2">
            <v>26684.880000000001</v>
          </cell>
          <cell r="P2">
            <v>738503.85</v>
          </cell>
          <cell r="Q2">
            <v>297</v>
          </cell>
        </row>
        <row r="3">
          <cell r="A3" t="str">
            <v>FW3</v>
          </cell>
          <cell r="B3" t="str">
            <v>浦东大道1700弄</v>
          </cell>
          <cell r="D3" t="str">
            <v>房屋及建筑物</v>
          </cell>
          <cell r="E3" t="str">
            <v>总公司</v>
          </cell>
          <cell r="F3" t="str">
            <v>使用中</v>
          </cell>
          <cell r="H3">
            <v>34640</v>
          </cell>
          <cell r="I3" t="str">
            <v>自建</v>
          </cell>
          <cell r="J3" t="str">
            <v>平均年限法</v>
          </cell>
          <cell r="K3" t="str">
            <v>360</v>
          </cell>
          <cell r="L3">
            <v>66692.7</v>
          </cell>
          <cell r="M3">
            <v>10961.7</v>
          </cell>
          <cell r="N3">
            <v>55731</v>
          </cell>
          <cell r="O3">
            <v>2000.78</v>
          </cell>
          <cell r="P3">
            <v>66692.7</v>
          </cell>
          <cell r="Q3">
            <v>360</v>
          </cell>
        </row>
        <row r="4">
          <cell r="A4" t="str">
            <v>FW4-1</v>
          </cell>
          <cell r="B4" t="str">
            <v>中企大厦26,27楼</v>
          </cell>
          <cell r="D4" t="str">
            <v>房屋及建筑物</v>
          </cell>
          <cell r="E4" t="str">
            <v>总公司</v>
          </cell>
          <cell r="F4" t="str">
            <v>使用中</v>
          </cell>
          <cell r="H4">
            <v>35772</v>
          </cell>
          <cell r="I4" t="str">
            <v>自建</v>
          </cell>
          <cell r="J4" t="str">
            <v>平均年限法</v>
          </cell>
          <cell r="K4" t="str">
            <v>540</v>
          </cell>
          <cell r="L4">
            <v>22584000</v>
          </cell>
          <cell r="M4">
            <v>973621.44</v>
          </cell>
          <cell r="N4">
            <v>21610378.559999999</v>
          </cell>
          <cell r="O4">
            <v>677520</v>
          </cell>
          <cell r="P4">
            <v>22584000</v>
          </cell>
          <cell r="Q4">
            <v>540</v>
          </cell>
        </row>
        <row r="5">
          <cell r="A5" t="str">
            <v>FW5</v>
          </cell>
          <cell r="B5" t="str">
            <v>南顺公寓</v>
          </cell>
          <cell r="C5" t="str">
            <v>南山路</v>
          </cell>
          <cell r="D5" t="str">
            <v>职工产权房</v>
          </cell>
          <cell r="E5" t="str">
            <v>总公司</v>
          </cell>
          <cell r="F5" t="str">
            <v>使用中</v>
          </cell>
          <cell r="G5" t="str">
            <v>彭洪</v>
          </cell>
          <cell r="H5">
            <v>35486</v>
          </cell>
          <cell r="I5" t="str">
            <v>购入</v>
          </cell>
          <cell r="J5" t="str">
            <v>平均年限法</v>
          </cell>
          <cell r="K5" t="str">
            <v>360</v>
          </cell>
          <cell r="L5">
            <v>461250</v>
          </cell>
          <cell r="M5">
            <v>43899.01</v>
          </cell>
          <cell r="N5">
            <v>417350.99</v>
          </cell>
          <cell r="O5">
            <v>0</v>
          </cell>
          <cell r="P5">
            <v>461250</v>
          </cell>
          <cell r="Q5">
            <v>360</v>
          </cell>
        </row>
        <row r="6">
          <cell r="L6">
            <v>24001438.649999999</v>
          </cell>
          <cell r="M6">
            <v>1186664.3499999999</v>
          </cell>
          <cell r="N6">
            <v>22814774.299999997</v>
          </cell>
        </row>
        <row r="7">
          <cell r="A7" t="str">
            <v>QJ10</v>
          </cell>
          <cell r="B7" t="str">
            <v>面包车</v>
          </cell>
          <cell r="C7" t="str">
            <v>金杯12座</v>
          </cell>
          <cell r="D7" t="str">
            <v>经租机电</v>
          </cell>
          <cell r="E7" t="str">
            <v>中企物业管理有限公司</v>
          </cell>
          <cell r="F7" t="str">
            <v>使用中</v>
          </cell>
          <cell r="G7" t="str">
            <v>长乐路</v>
          </cell>
          <cell r="H7">
            <v>36521</v>
          </cell>
          <cell r="I7" t="str">
            <v>其他增加</v>
          </cell>
          <cell r="J7" t="str">
            <v>平均年限法</v>
          </cell>
          <cell r="K7" t="str">
            <v>12</v>
          </cell>
          <cell r="L7">
            <v>113303.65</v>
          </cell>
          <cell r="M7">
            <v>9158.7099999999991</v>
          </cell>
          <cell r="N7">
            <v>104144.94</v>
          </cell>
          <cell r="O7">
            <v>3399.11</v>
          </cell>
          <cell r="P7">
            <v>113303.65</v>
          </cell>
          <cell r="Q7">
            <v>12</v>
          </cell>
        </row>
        <row r="8">
          <cell r="A8" t="str">
            <v>QJ11</v>
          </cell>
          <cell r="B8" t="str">
            <v>奥迪汽车</v>
          </cell>
          <cell r="C8" t="str">
            <v>奥迪</v>
          </cell>
          <cell r="D8" t="str">
            <v>经租机电</v>
          </cell>
          <cell r="E8" t="str">
            <v>中企物业管理有限公司</v>
          </cell>
          <cell r="F8" t="str">
            <v>使用中</v>
          </cell>
          <cell r="G8" t="str">
            <v>孙勇</v>
          </cell>
          <cell r="H8">
            <v>36521</v>
          </cell>
          <cell r="I8" t="str">
            <v>其他增加</v>
          </cell>
          <cell r="J8" t="str">
            <v>平均年限法</v>
          </cell>
          <cell r="K8" t="str">
            <v>31</v>
          </cell>
          <cell r="L8">
            <v>254325.45</v>
          </cell>
          <cell r="M8">
            <v>7957.93</v>
          </cell>
          <cell r="N8">
            <v>246367.52</v>
          </cell>
          <cell r="O8">
            <v>7629.76</v>
          </cell>
          <cell r="P8">
            <v>254325.45</v>
          </cell>
          <cell r="Q8">
            <v>31</v>
          </cell>
        </row>
        <row r="9">
          <cell r="A9" t="str">
            <v>QJ2</v>
          </cell>
          <cell r="B9" t="str">
            <v>日产双排货车</v>
          </cell>
          <cell r="D9" t="str">
            <v>汽车类</v>
          </cell>
          <cell r="E9" t="str">
            <v>总公司</v>
          </cell>
          <cell r="F9" t="str">
            <v>使用中</v>
          </cell>
          <cell r="G9" t="str">
            <v>装修公司</v>
          </cell>
          <cell r="H9">
            <v>32913</v>
          </cell>
          <cell r="I9" t="str">
            <v>购入</v>
          </cell>
          <cell r="J9" t="str">
            <v>平均年限法</v>
          </cell>
          <cell r="K9" t="str">
            <v>72</v>
          </cell>
          <cell r="L9">
            <v>73500</v>
          </cell>
          <cell r="M9">
            <v>71295</v>
          </cell>
          <cell r="N9">
            <v>2205</v>
          </cell>
          <cell r="O9">
            <v>2205</v>
          </cell>
          <cell r="P9">
            <v>73500</v>
          </cell>
          <cell r="Q9">
            <v>72</v>
          </cell>
        </row>
        <row r="10">
          <cell r="A10" t="str">
            <v>QJ4</v>
          </cell>
          <cell r="B10" t="str">
            <v>轿车</v>
          </cell>
          <cell r="C10" t="str">
            <v>桑塔纳普通型</v>
          </cell>
          <cell r="D10" t="str">
            <v>汽车类</v>
          </cell>
          <cell r="E10" t="str">
            <v>经理室</v>
          </cell>
          <cell r="F10" t="str">
            <v>使用中</v>
          </cell>
          <cell r="G10" t="str">
            <v>滕国伟</v>
          </cell>
          <cell r="H10">
            <v>33124</v>
          </cell>
          <cell r="I10" t="str">
            <v>购入</v>
          </cell>
          <cell r="J10" t="str">
            <v>平均年限法</v>
          </cell>
          <cell r="K10" t="str">
            <v>72</v>
          </cell>
          <cell r="L10">
            <v>199500</v>
          </cell>
          <cell r="M10">
            <v>193515</v>
          </cell>
          <cell r="N10">
            <v>5985</v>
          </cell>
          <cell r="O10">
            <v>5985</v>
          </cell>
          <cell r="P10">
            <v>199500</v>
          </cell>
          <cell r="Q10">
            <v>72</v>
          </cell>
        </row>
        <row r="11">
          <cell r="A11" t="str">
            <v>QJ5</v>
          </cell>
          <cell r="B11" t="str">
            <v>摩托车</v>
          </cell>
          <cell r="D11" t="str">
            <v>汽车类</v>
          </cell>
          <cell r="E11" t="str">
            <v>经理室</v>
          </cell>
          <cell r="F11" t="str">
            <v>使用中</v>
          </cell>
          <cell r="H11">
            <v>33946</v>
          </cell>
          <cell r="I11" t="str">
            <v>购入</v>
          </cell>
          <cell r="J11" t="str">
            <v>平均年限法</v>
          </cell>
          <cell r="K11" t="str">
            <v>60</v>
          </cell>
          <cell r="L11">
            <v>18900</v>
          </cell>
          <cell r="M11">
            <v>18397.34</v>
          </cell>
          <cell r="N11">
            <v>502.66</v>
          </cell>
          <cell r="O11">
            <v>567</v>
          </cell>
          <cell r="P11">
            <v>18900</v>
          </cell>
          <cell r="Q11">
            <v>60</v>
          </cell>
        </row>
        <row r="12">
          <cell r="A12" t="str">
            <v>QJ6</v>
          </cell>
          <cell r="B12" t="str">
            <v>面包车</v>
          </cell>
          <cell r="C12" t="str">
            <v>雪佛莱</v>
          </cell>
          <cell r="D12" t="str">
            <v>汽车类</v>
          </cell>
          <cell r="E12" t="str">
            <v>办公室</v>
          </cell>
          <cell r="F12" t="str">
            <v>使用中</v>
          </cell>
          <cell r="H12">
            <v>31510</v>
          </cell>
          <cell r="I12" t="str">
            <v>购入</v>
          </cell>
          <cell r="J12" t="str">
            <v>平均年限法</v>
          </cell>
          <cell r="K12" t="str">
            <v>72</v>
          </cell>
          <cell r="L12">
            <v>500000</v>
          </cell>
          <cell r="M12">
            <v>485000</v>
          </cell>
          <cell r="N12">
            <v>15000</v>
          </cell>
          <cell r="O12">
            <v>15000</v>
          </cell>
          <cell r="P12">
            <v>500000</v>
          </cell>
          <cell r="Q12">
            <v>72</v>
          </cell>
        </row>
        <row r="13">
          <cell r="A13" t="str">
            <v>QJ7</v>
          </cell>
          <cell r="B13" t="str">
            <v>轿车</v>
          </cell>
          <cell r="C13" t="str">
            <v>奥迪</v>
          </cell>
          <cell r="D13" t="str">
            <v>汽车类</v>
          </cell>
          <cell r="E13" t="str">
            <v>办公室</v>
          </cell>
          <cell r="F13" t="str">
            <v>使用中</v>
          </cell>
          <cell r="G13" t="str">
            <v>港泰公司</v>
          </cell>
          <cell r="H13">
            <v>34525</v>
          </cell>
          <cell r="I13" t="str">
            <v>购入</v>
          </cell>
          <cell r="J13" t="str">
            <v>平均年限法</v>
          </cell>
          <cell r="K13" t="str">
            <v>72</v>
          </cell>
          <cell r="L13">
            <v>476158.1</v>
          </cell>
          <cell r="M13">
            <v>410554.24</v>
          </cell>
          <cell r="N13">
            <v>65603.86</v>
          </cell>
          <cell r="O13">
            <v>14284.74</v>
          </cell>
          <cell r="P13">
            <v>476158.1</v>
          </cell>
          <cell r="Q13">
            <v>72</v>
          </cell>
        </row>
        <row r="14">
          <cell r="A14" t="str">
            <v>QJ8</v>
          </cell>
          <cell r="B14" t="str">
            <v>轿车</v>
          </cell>
          <cell r="C14" t="str">
            <v>桑塔纳2000型</v>
          </cell>
          <cell r="D14" t="str">
            <v>汽车类</v>
          </cell>
          <cell r="E14" t="str">
            <v>经理室</v>
          </cell>
          <cell r="F14" t="str">
            <v>使用中</v>
          </cell>
          <cell r="G14" t="str">
            <v>夏超寅</v>
          </cell>
          <cell r="H14">
            <v>35894</v>
          </cell>
          <cell r="I14" t="str">
            <v>购入</v>
          </cell>
          <cell r="J14" t="str">
            <v>平均年限法</v>
          </cell>
          <cell r="K14" t="str">
            <v>72</v>
          </cell>
          <cell r="L14">
            <v>192750</v>
          </cell>
          <cell r="M14">
            <v>51935.4</v>
          </cell>
          <cell r="N14">
            <v>140814.6</v>
          </cell>
          <cell r="O14">
            <v>5782.5</v>
          </cell>
          <cell r="P14">
            <v>192750</v>
          </cell>
          <cell r="Q14">
            <v>72</v>
          </cell>
        </row>
        <row r="15">
          <cell r="A15" t="str">
            <v>QJ9</v>
          </cell>
          <cell r="B15" t="str">
            <v>轿车</v>
          </cell>
          <cell r="C15" t="str">
            <v>桑塔纳330K8LL0LTF2</v>
          </cell>
          <cell r="D15" t="str">
            <v>汽车类</v>
          </cell>
          <cell r="E15" t="str">
            <v>经理室</v>
          </cell>
          <cell r="F15" t="str">
            <v>使用中</v>
          </cell>
          <cell r="G15" t="str">
            <v>滕国伟</v>
          </cell>
          <cell r="H15">
            <v>36443</v>
          </cell>
          <cell r="I15" t="str">
            <v>购入</v>
          </cell>
          <cell r="J15" t="str">
            <v>平均年限法</v>
          </cell>
          <cell r="K15" t="str">
            <v>72</v>
          </cell>
          <cell r="L15">
            <v>208810.23</v>
          </cell>
          <cell r="M15">
            <v>8439.42</v>
          </cell>
          <cell r="N15">
            <v>200370.81</v>
          </cell>
          <cell r="O15">
            <v>6264.31</v>
          </cell>
          <cell r="P15">
            <v>208810.23</v>
          </cell>
          <cell r="Q15">
            <v>72</v>
          </cell>
        </row>
        <row r="16">
          <cell r="A16" t="str">
            <v>QJa001</v>
          </cell>
          <cell r="B16" t="str">
            <v>轿车</v>
          </cell>
          <cell r="C16" t="str">
            <v>桑塔纳普通型</v>
          </cell>
          <cell r="D16" t="str">
            <v>汽车类</v>
          </cell>
          <cell r="E16" t="str">
            <v>经理室</v>
          </cell>
          <cell r="F16" t="str">
            <v>使用中</v>
          </cell>
          <cell r="G16" t="str">
            <v>朱建中</v>
          </cell>
          <cell r="H16">
            <v>34555</v>
          </cell>
          <cell r="I16" t="str">
            <v>其他增加</v>
          </cell>
          <cell r="J16" t="str">
            <v>平均年限法</v>
          </cell>
          <cell r="K16" t="str">
            <v>72</v>
          </cell>
          <cell r="L16">
            <v>78063.740000000005</v>
          </cell>
          <cell r="M16">
            <v>50748.24</v>
          </cell>
          <cell r="N16">
            <v>27315.5</v>
          </cell>
          <cell r="O16">
            <v>5947.71</v>
          </cell>
          <cell r="P16">
            <v>198257</v>
          </cell>
          <cell r="Q16">
            <v>72</v>
          </cell>
        </row>
        <row r="17">
          <cell r="A17" t="str">
            <v>QJa002</v>
          </cell>
          <cell r="B17" t="str">
            <v>轿车</v>
          </cell>
          <cell r="C17" t="str">
            <v>桑塔纳2000型</v>
          </cell>
          <cell r="D17" t="str">
            <v>汽车类</v>
          </cell>
          <cell r="E17" t="str">
            <v>办公室</v>
          </cell>
          <cell r="F17" t="str">
            <v>使用中</v>
          </cell>
          <cell r="H17">
            <v>35014</v>
          </cell>
          <cell r="I17" t="str">
            <v>其他增加</v>
          </cell>
          <cell r="J17" t="str">
            <v>平均年限法</v>
          </cell>
          <cell r="K17" t="str">
            <v>72</v>
          </cell>
          <cell r="L17">
            <v>124752.62</v>
          </cell>
          <cell r="M17">
            <v>54017.37</v>
          </cell>
          <cell r="N17">
            <v>70735.25</v>
          </cell>
          <cell r="O17">
            <v>3742.58</v>
          </cell>
          <cell r="P17">
            <v>209375</v>
          </cell>
          <cell r="Q17">
            <v>72</v>
          </cell>
        </row>
        <row r="18">
          <cell r="A18" t="str">
            <v>QJa003</v>
          </cell>
          <cell r="B18" t="str">
            <v>面包车</v>
          </cell>
          <cell r="C18" t="str">
            <v>GMC</v>
          </cell>
          <cell r="D18" t="str">
            <v>汽车类</v>
          </cell>
          <cell r="E18" t="str">
            <v>办公室</v>
          </cell>
          <cell r="F18" t="str">
            <v>使用中</v>
          </cell>
          <cell r="H18">
            <v>35956</v>
          </cell>
          <cell r="I18" t="str">
            <v>其他增加</v>
          </cell>
          <cell r="J18" t="str">
            <v>平均年限法</v>
          </cell>
          <cell r="K18" t="str">
            <v>1</v>
          </cell>
          <cell r="L18">
            <v>6000</v>
          </cell>
          <cell r="M18">
            <v>6000</v>
          </cell>
          <cell r="N18">
            <v>0</v>
          </cell>
          <cell r="O18">
            <v>0</v>
          </cell>
          <cell r="P18">
            <v>6000</v>
          </cell>
          <cell r="Q18">
            <v>1</v>
          </cell>
        </row>
        <row r="19">
          <cell r="L19">
            <v>2246063.7900000005</v>
          </cell>
          <cell r="M19">
            <v>1367018.65</v>
          </cell>
          <cell r="N19">
            <v>879045.1399999999</v>
          </cell>
        </row>
        <row r="20">
          <cell r="A20" t="str">
            <v>JD501-510</v>
          </cell>
          <cell r="B20" t="str">
            <v>饮水机</v>
          </cell>
          <cell r="C20" t="str">
            <v>正广和</v>
          </cell>
          <cell r="D20" t="str">
            <v>机电类</v>
          </cell>
          <cell r="E20" t="str">
            <v>总公司</v>
          </cell>
          <cell r="F20" t="str">
            <v>使用中</v>
          </cell>
          <cell r="G20" t="str">
            <v>各部室</v>
          </cell>
          <cell r="H20">
            <v>35318</v>
          </cell>
          <cell r="I20" t="str">
            <v>购入</v>
          </cell>
          <cell r="J20" t="str">
            <v>平均年限法</v>
          </cell>
          <cell r="K20" t="str">
            <v>60</v>
          </cell>
          <cell r="L20">
            <v>24000</v>
          </cell>
          <cell r="M20">
            <v>17072</v>
          </cell>
          <cell r="N20">
            <v>6928</v>
          </cell>
          <cell r="O20">
            <v>720</v>
          </cell>
          <cell r="P20">
            <v>24000</v>
          </cell>
          <cell r="Q20">
            <v>60</v>
          </cell>
        </row>
        <row r="21">
          <cell r="A21" t="str">
            <v>JD511</v>
          </cell>
          <cell r="B21" t="str">
            <v>吸尘器</v>
          </cell>
          <cell r="D21" t="str">
            <v>机电类</v>
          </cell>
          <cell r="E21" t="str">
            <v>办公室</v>
          </cell>
          <cell r="F21" t="str">
            <v>使用中</v>
          </cell>
          <cell r="G21" t="str">
            <v>2609</v>
          </cell>
          <cell r="H21">
            <v>35013</v>
          </cell>
          <cell r="I21" t="str">
            <v>购入</v>
          </cell>
          <cell r="J21" t="str">
            <v>平均年限法</v>
          </cell>
          <cell r="K21" t="str">
            <v>60</v>
          </cell>
          <cell r="L21">
            <v>2980</v>
          </cell>
          <cell r="M21">
            <v>2360.8200000000002</v>
          </cell>
          <cell r="N21">
            <v>619.17999999999995</v>
          </cell>
          <cell r="O21">
            <v>89.4</v>
          </cell>
          <cell r="P21">
            <v>2980</v>
          </cell>
          <cell r="Q21">
            <v>60</v>
          </cell>
        </row>
        <row r="22">
          <cell r="A22" t="str">
            <v>JD512</v>
          </cell>
          <cell r="B22" t="str">
            <v>冰箱</v>
          </cell>
          <cell r="C22" t="str">
            <v>上凌180</v>
          </cell>
          <cell r="D22" t="str">
            <v>机电类</v>
          </cell>
          <cell r="E22" t="str">
            <v>经理室</v>
          </cell>
          <cell r="F22" t="str">
            <v>使用中</v>
          </cell>
          <cell r="G22" t="str">
            <v>董事长室</v>
          </cell>
          <cell r="H22">
            <v>34890</v>
          </cell>
          <cell r="I22" t="str">
            <v>购入</v>
          </cell>
          <cell r="J22" t="str">
            <v>平均年限法</v>
          </cell>
          <cell r="K22" t="str">
            <v>60</v>
          </cell>
          <cell r="L22">
            <v>2490</v>
          </cell>
          <cell r="M22">
            <v>2133.58</v>
          </cell>
          <cell r="N22">
            <v>356.42</v>
          </cell>
          <cell r="O22">
            <v>74.7</v>
          </cell>
          <cell r="P22">
            <v>2490</v>
          </cell>
          <cell r="Q22">
            <v>60</v>
          </cell>
        </row>
        <row r="23">
          <cell r="A23" t="str">
            <v>JD513</v>
          </cell>
          <cell r="B23" t="str">
            <v>冰箱</v>
          </cell>
          <cell r="D23" t="str">
            <v>机电类</v>
          </cell>
          <cell r="E23" t="str">
            <v>经理室</v>
          </cell>
          <cell r="F23" t="str">
            <v>使用中</v>
          </cell>
          <cell r="G23" t="str">
            <v>2701</v>
          </cell>
          <cell r="H23">
            <v>32914</v>
          </cell>
          <cell r="I23" t="str">
            <v>盘盈</v>
          </cell>
          <cell r="J23" t="str">
            <v>平均年限法</v>
          </cell>
          <cell r="K23" t="str">
            <v>60</v>
          </cell>
          <cell r="L23">
            <v>1500</v>
          </cell>
          <cell r="M23">
            <v>1455</v>
          </cell>
          <cell r="N23">
            <v>45</v>
          </cell>
          <cell r="O23">
            <v>45</v>
          </cell>
          <cell r="P23">
            <v>1500</v>
          </cell>
          <cell r="Q23">
            <v>60</v>
          </cell>
        </row>
        <row r="24">
          <cell r="A24" t="str">
            <v>JD514</v>
          </cell>
          <cell r="B24" t="str">
            <v>冰箱</v>
          </cell>
          <cell r="D24" t="str">
            <v>机电类</v>
          </cell>
          <cell r="E24" t="str">
            <v>办公室</v>
          </cell>
          <cell r="F24" t="str">
            <v>使用中</v>
          </cell>
          <cell r="G24" t="str">
            <v>26楼大厅</v>
          </cell>
          <cell r="H24">
            <v>32915</v>
          </cell>
          <cell r="I24" t="str">
            <v>盘盈</v>
          </cell>
          <cell r="J24" t="str">
            <v>平均年限法</v>
          </cell>
          <cell r="K24" t="str">
            <v>60</v>
          </cell>
          <cell r="L24">
            <v>1500</v>
          </cell>
          <cell r="M24">
            <v>1455</v>
          </cell>
          <cell r="N24">
            <v>45</v>
          </cell>
          <cell r="O24">
            <v>45</v>
          </cell>
          <cell r="P24">
            <v>1500</v>
          </cell>
          <cell r="Q24">
            <v>60</v>
          </cell>
        </row>
        <row r="25">
          <cell r="A25" t="str">
            <v>JD515</v>
          </cell>
          <cell r="B25" t="str">
            <v>彩电</v>
          </cell>
          <cell r="C25" t="str">
            <v>25寸东芝</v>
          </cell>
          <cell r="D25" t="str">
            <v>机电类</v>
          </cell>
          <cell r="E25" t="str">
            <v>工会</v>
          </cell>
          <cell r="F25" t="str">
            <v>使用中</v>
          </cell>
          <cell r="G25" t="str">
            <v>2610</v>
          </cell>
          <cell r="H25">
            <v>32914</v>
          </cell>
          <cell r="I25" t="str">
            <v>盘盈</v>
          </cell>
          <cell r="J25" t="str">
            <v>平均年限法</v>
          </cell>
          <cell r="K25" t="str">
            <v>60</v>
          </cell>
          <cell r="L25">
            <v>4000</v>
          </cell>
          <cell r="M25">
            <v>3880</v>
          </cell>
          <cell r="N25">
            <v>120</v>
          </cell>
          <cell r="O25">
            <v>120</v>
          </cell>
          <cell r="P25">
            <v>4000</v>
          </cell>
          <cell r="Q25">
            <v>60</v>
          </cell>
        </row>
        <row r="26">
          <cell r="A26" t="str">
            <v>JD516</v>
          </cell>
          <cell r="B26" t="str">
            <v>彩电</v>
          </cell>
          <cell r="C26" t="str">
            <v>29寸松下</v>
          </cell>
          <cell r="D26" t="str">
            <v>机电类</v>
          </cell>
          <cell r="E26" t="str">
            <v>工会</v>
          </cell>
          <cell r="F26" t="str">
            <v>使用中</v>
          </cell>
          <cell r="G26" t="str">
            <v>2711</v>
          </cell>
          <cell r="H26">
            <v>32914</v>
          </cell>
          <cell r="I26" t="str">
            <v>盘盈</v>
          </cell>
          <cell r="J26" t="str">
            <v>平均年限法</v>
          </cell>
          <cell r="K26" t="str">
            <v>60</v>
          </cell>
          <cell r="L26">
            <v>6000</v>
          </cell>
          <cell r="M26">
            <v>5820</v>
          </cell>
          <cell r="N26">
            <v>180</v>
          </cell>
          <cell r="O26">
            <v>180</v>
          </cell>
          <cell r="P26">
            <v>6000</v>
          </cell>
          <cell r="Q26">
            <v>60</v>
          </cell>
        </row>
        <row r="27">
          <cell r="A27" t="str">
            <v>JD517-1</v>
          </cell>
          <cell r="B27" t="str">
            <v>工会音响</v>
          </cell>
          <cell r="D27" t="str">
            <v>机电类</v>
          </cell>
          <cell r="E27" t="str">
            <v>工会</v>
          </cell>
          <cell r="F27" t="str">
            <v>使用中</v>
          </cell>
          <cell r="G27" t="str">
            <v>多功能厅</v>
          </cell>
          <cell r="H27">
            <v>34799</v>
          </cell>
          <cell r="I27" t="str">
            <v>购入</v>
          </cell>
          <cell r="J27" t="str">
            <v>平均年限法</v>
          </cell>
          <cell r="K27" t="str">
            <v>60</v>
          </cell>
          <cell r="L27">
            <v>118252</v>
          </cell>
          <cell r="M27">
            <v>107082.44</v>
          </cell>
          <cell r="N27">
            <v>11169.56</v>
          </cell>
          <cell r="O27">
            <v>3547.56</v>
          </cell>
          <cell r="P27">
            <v>118252</v>
          </cell>
          <cell r="Q27">
            <v>60</v>
          </cell>
        </row>
        <row r="28">
          <cell r="A28" t="str">
            <v>JD517-2</v>
          </cell>
          <cell r="B28" t="str">
            <v>影碟机</v>
          </cell>
          <cell r="C28" t="str">
            <v>先锋</v>
          </cell>
          <cell r="D28" t="str">
            <v>机电类</v>
          </cell>
          <cell r="E28" t="str">
            <v>工会</v>
          </cell>
          <cell r="F28" t="str">
            <v>使用中</v>
          </cell>
          <cell r="G28" t="str">
            <v>多功能厅</v>
          </cell>
          <cell r="H28">
            <v>33279</v>
          </cell>
          <cell r="I28" t="str">
            <v>购入</v>
          </cell>
          <cell r="J28" t="str">
            <v>平均年限法</v>
          </cell>
          <cell r="K28" t="str">
            <v>60</v>
          </cell>
          <cell r="L28">
            <v>13650</v>
          </cell>
          <cell r="M28">
            <v>13240.5</v>
          </cell>
          <cell r="N28">
            <v>409.5</v>
          </cell>
          <cell r="O28">
            <v>409.5</v>
          </cell>
          <cell r="P28">
            <v>13650</v>
          </cell>
          <cell r="Q28">
            <v>60</v>
          </cell>
        </row>
        <row r="29">
          <cell r="A29" t="str">
            <v>JD519</v>
          </cell>
          <cell r="B29" t="str">
            <v>冰箱</v>
          </cell>
          <cell r="D29" t="str">
            <v>机电类</v>
          </cell>
          <cell r="E29" t="str">
            <v>办公室</v>
          </cell>
          <cell r="F29" t="str">
            <v>使用中</v>
          </cell>
          <cell r="G29" t="str">
            <v>石门二路</v>
          </cell>
          <cell r="H29">
            <v>34588</v>
          </cell>
          <cell r="I29" t="str">
            <v>购入</v>
          </cell>
          <cell r="J29" t="str">
            <v>平均年限法</v>
          </cell>
          <cell r="K29" t="str">
            <v>60</v>
          </cell>
          <cell r="L29">
            <v>2836</v>
          </cell>
          <cell r="M29">
            <v>2751</v>
          </cell>
          <cell r="N29">
            <v>85</v>
          </cell>
          <cell r="O29">
            <v>85.08</v>
          </cell>
          <cell r="P29">
            <v>2836</v>
          </cell>
          <cell r="Q29">
            <v>60</v>
          </cell>
        </row>
        <row r="30">
          <cell r="A30" t="str">
            <v>JD520</v>
          </cell>
          <cell r="B30" t="str">
            <v>去湿机</v>
          </cell>
          <cell r="C30" t="str">
            <v>三洋</v>
          </cell>
          <cell r="D30" t="str">
            <v>机电类</v>
          </cell>
          <cell r="E30" t="str">
            <v>办公室</v>
          </cell>
          <cell r="F30" t="str">
            <v>使用中</v>
          </cell>
          <cell r="H30">
            <v>32914</v>
          </cell>
          <cell r="I30" t="str">
            <v>购入</v>
          </cell>
          <cell r="J30" t="str">
            <v>平均年限法</v>
          </cell>
          <cell r="K30" t="str">
            <v>60</v>
          </cell>
          <cell r="L30">
            <v>2625</v>
          </cell>
          <cell r="M30">
            <v>2546.25</v>
          </cell>
          <cell r="N30">
            <v>78.75</v>
          </cell>
          <cell r="O30">
            <v>78.75</v>
          </cell>
          <cell r="P30">
            <v>2625</v>
          </cell>
          <cell r="Q30">
            <v>60</v>
          </cell>
        </row>
        <row r="31">
          <cell r="A31" t="str">
            <v>JD521</v>
          </cell>
          <cell r="B31" t="str">
            <v>电冰箱</v>
          </cell>
          <cell r="C31" t="str">
            <v>上菱17-234</v>
          </cell>
          <cell r="D31" t="str">
            <v>经租机电</v>
          </cell>
          <cell r="E31" t="str">
            <v>中企物业管理有限公司</v>
          </cell>
          <cell r="F31" t="str">
            <v>使用中</v>
          </cell>
          <cell r="G31" t="str">
            <v>长乐路</v>
          </cell>
          <cell r="H31">
            <v>36521</v>
          </cell>
          <cell r="I31" t="str">
            <v>其他增加</v>
          </cell>
          <cell r="J31" t="str">
            <v>平均年限法</v>
          </cell>
          <cell r="K31" t="str">
            <v>9</v>
          </cell>
          <cell r="L31">
            <v>825.65</v>
          </cell>
          <cell r="M31">
            <v>88.99</v>
          </cell>
          <cell r="N31">
            <v>736.66</v>
          </cell>
          <cell r="O31">
            <v>24.77</v>
          </cell>
          <cell r="P31">
            <v>825.65</v>
          </cell>
          <cell r="Q31">
            <v>9</v>
          </cell>
        </row>
        <row r="32">
          <cell r="A32" t="str">
            <v>JD522</v>
          </cell>
          <cell r="B32" t="str">
            <v>彩电</v>
          </cell>
          <cell r="C32" t="str">
            <v>索尼</v>
          </cell>
          <cell r="D32" t="str">
            <v>经租机电</v>
          </cell>
          <cell r="E32" t="str">
            <v>中企物业管理有限公司</v>
          </cell>
          <cell r="F32" t="str">
            <v>使用中</v>
          </cell>
          <cell r="G32" t="str">
            <v>长乐路</v>
          </cell>
          <cell r="H32">
            <v>36521</v>
          </cell>
          <cell r="I32" t="str">
            <v>其他增加</v>
          </cell>
          <cell r="J32" t="str">
            <v>平均年限法</v>
          </cell>
          <cell r="K32" t="str">
            <v>19</v>
          </cell>
          <cell r="L32">
            <v>8052</v>
          </cell>
          <cell r="M32">
            <v>411.08</v>
          </cell>
          <cell r="N32">
            <v>7640.92</v>
          </cell>
          <cell r="O32">
            <v>241.56</v>
          </cell>
          <cell r="P32">
            <v>8052</v>
          </cell>
          <cell r="Q32">
            <v>19</v>
          </cell>
        </row>
        <row r="33">
          <cell r="A33" t="str">
            <v>JD701</v>
          </cell>
          <cell r="B33" t="str">
            <v>彩电</v>
          </cell>
          <cell r="C33" t="str">
            <v>夏普二合一</v>
          </cell>
          <cell r="D33" t="str">
            <v>机电类</v>
          </cell>
          <cell r="E33" t="str">
            <v>科技发展部</v>
          </cell>
          <cell r="F33" t="str">
            <v>使用中</v>
          </cell>
          <cell r="G33" t="str">
            <v>企华</v>
          </cell>
          <cell r="H33">
            <v>34601</v>
          </cell>
          <cell r="I33" t="str">
            <v>购入</v>
          </cell>
          <cell r="J33" t="str">
            <v>平均年限法</v>
          </cell>
          <cell r="K33" t="str">
            <v>60</v>
          </cell>
          <cell r="L33">
            <v>8000</v>
          </cell>
          <cell r="M33">
            <v>7760</v>
          </cell>
          <cell r="N33">
            <v>240</v>
          </cell>
          <cell r="O33">
            <v>240</v>
          </cell>
          <cell r="P33">
            <v>8000</v>
          </cell>
          <cell r="Q33">
            <v>60</v>
          </cell>
        </row>
        <row r="34">
          <cell r="A34" t="str">
            <v>JDa001</v>
          </cell>
          <cell r="B34" t="str">
            <v>空调</v>
          </cell>
          <cell r="C34" t="str">
            <v>春兰</v>
          </cell>
          <cell r="D34" t="str">
            <v>经租机电</v>
          </cell>
          <cell r="E34" t="str">
            <v>企华置业有限公司</v>
          </cell>
          <cell r="F34" t="str">
            <v>使用中</v>
          </cell>
          <cell r="G34" t="str">
            <v>建国东路</v>
          </cell>
          <cell r="H34">
            <v>35188</v>
          </cell>
          <cell r="I34" t="str">
            <v>购入</v>
          </cell>
          <cell r="J34" t="str">
            <v>平均年限法</v>
          </cell>
          <cell r="K34" t="str">
            <v>60</v>
          </cell>
          <cell r="L34">
            <v>8341.75</v>
          </cell>
          <cell r="M34">
            <v>4300.2700000000004</v>
          </cell>
          <cell r="N34">
            <v>4041.48</v>
          </cell>
          <cell r="O34">
            <v>420</v>
          </cell>
          <cell r="P34">
            <v>14000</v>
          </cell>
          <cell r="Q34">
            <v>60</v>
          </cell>
        </row>
        <row r="35">
          <cell r="A35" t="str">
            <v>JJ501</v>
          </cell>
          <cell r="B35" t="str">
            <v>沙发</v>
          </cell>
          <cell r="D35" t="str">
            <v>家具类</v>
          </cell>
          <cell r="E35" t="str">
            <v>办公室</v>
          </cell>
          <cell r="F35" t="str">
            <v>使用中</v>
          </cell>
          <cell r="G35" t="str">
            <v>26,27大厅</v>
          </cell>
          <cell r="H35">
            <v>34669</v>
          </cell>
          <cell r="I35" t="str">
            <v>购入</v>
          </cell>
          <cell r="J35" t="str">
            <v>平均年限法</v>
          </cell>
          <cell r="K35" t="str">
            <v>60</v>
          </cell>
          <cell r="L35">
            <v>10440</v>
          </cell>
          <cell r="M35">
            <v>10126.799999999999</v>
          </cell>
          <cell r="N35">
            <v>313.2</v>
          </cell>
          <cell r="O35">
            <v>313.2</v>
          </cell>
          <cell r="P35">
            <v>10440</v>
          </cell>
          <cell r="Q35">
            <v>60</v>
          </cell>
        </row>
        <row r="36">
          <cell r="A36" t="str">
            <v>JJ502</v>
          </cell>
          <cell r="B36" t="str">
            <v>沙发茶几</v>
          </cell>
          <cell r="D36" t="str">
            <v>家具类</v>
          </cell>
          <cell r="E36" t="str">
            <v>经理室</v>
          </cell>
          <cell r="F36" t="str">
            <v>使用中</v>
          </cell>
          <cell r="G36" t="str">
            <v>董事长室</v>
          </cell>
          <cell r="H36">
            <v>34740</v>
          </cell>
          <cell r="I36" t="str">
            <v>购入</v>
          </cell>
          <cell r="J36" t="str">
            <v>平均年限法</v>
          </cell>
          <cell r="K36" t="str">
            <v>60</v>
          </cell>
          <cell r="L36">
            <v>2500</v>
          </cell>
          <cell r="M36">
            <v>2425</v>
          </cell>
          <cell r="N36">
            <v>75</v>
          </cell>
          <cell r="O36">
            <v>75</v>
          </cell>
          <cell r="P36">
            <v>2500</v>
          </cell>
          <cell r="Q36">
            <v>60</v>
          </cell>
        </row>
        <row r="37">
          <cell r="A37" t="str">
            <v>JJ503</v>
          </cell>
          <cell r="B37" t="str">
            <v>转椅,板台</v>
          </cell>
          <cell r="D37" t="str">
            <v>家具类</v>
          </cell>
          <cell r="E37" t="str">
            <v>经理室</v>
          </cell>
          <cell r="F37" t="str">
            <v>使用中</v>
          </cell>
          <cell r="H37">
            <v>32914</v>
          </cell>
          <cell r="I37" t="str">
            <v>盘盈</v>
          </cell>
          <cell r="J37" t="str">
            <v>平均年限法</v>
          </cell>
          <cell r="K37" t="str">
            <v>60</v>
          </cell>
          <cell r="L37">
            <v>30000</v>
          </cell>
          <cell r="M37">
            <v>29100</v>
          </cell>
          <cell r="N37">
            <v>900</v>
          </cell>
          <cell r="O37">
            <v>900</v>
          </cell>
          <cell r="P37">
            <v>30000</v>
          </cell>
          <cell r="Q37">
            <v>60</v>
          </cell>
        </row>
        <row r="38">
          <cell r="A38" t="str">
            <v>JJ504</v>
          </cell>
          <cell r="B38" t="str">
            <v>文件柜</v>
          </cell>
          <cell r="D38" t="str">
            <v>家具类</v>
          </cell>
          <cell r="E38" t="str">
            <v>工会</v>
          </cell>
          <cell r="F38" t="str">
            <v>使用中</v>
          </cell>
          <cell r="G38" t="str">
            <v>工会,阅览室</v>
          </cell>
          <cell r="H38">
            <v>34608</v>
          </cell>
          <cell r="I38" t="str">
            <v>购入</v>
          </cell>
          <cell r="J38" t="str">
            <v>平均年限法</v>
          </cell>
          <cell r="K38" t="str">
            <v>60</v>
          </cell>
          <cell r="L38">
            <v>3640</v>
          </cell>
          <cell r="M38">
            <v>3530.8</v>
          </cell>
          <cell r="N38">
            <v>109.2</v>
          </cell>
          <cell r="O38">
            <v>109.2</v>
          </cell>
          <cell r="P38">
            <v>3640</v>
          </cell>
          <cell r="Q38">
            <v>60</v>
          </cell>
        </row>
        <row r="39">
          <cell r="A39" t="str">
            <v>JJ505</v>
          </cell>
          <cell r="B39" t="str">
            <v>沙发</v>
          </cell>
          <cell r="C39" t="str">
            <v>单人</v>
          </cell>
          <cell r="D39" t="str">
            <v>家具类</v>
          </cell>
          <cell r="E39" t="str">
            <v>工会</v>
          </cell>
          <cell r="F39" t="str">
            <v>使用中</v>
          </cell>
          <cell r="G39" t="str">
            <v>董事长室</v>
          </cell>
          <cell r="H39">
            <v>34639</v>
          </cell>
          <cell r="I39" t="str">
            <v>购入</v>
          </cell>
          <cell r="J39" t="str">
            <v>平均年限法</v>
          </cell>
          <cell r="K39" t="str">
            <v>60</v>
          </cell>
          <cell r="L39">
            <v>6500</v>
          </cell>
          <cell r="M39">
            <v>6305</v>
          </cell>
          <cell r="N39">
            <v>195</v>
          </cell>
          <cell r="O39">
            <v>195</v>
          </cell>
          <cell r="P39">
            <v>6500</v>
          </cell>
          <cell r="Q39">
            <v>60</v>
          </cell>
        </row>
        <row r="40">
          <cell r="A40" t="str">
            <v>JJ506</v>
          </cell>
          <cell r="B40" t="str">
            <v>转椅</v>
          </cell>
          <cell r="C40" t="str">
            <v>G818A-1</v>
          </cell>
          <cell r="D40" t="str">
            <v>家具类</v>
          </cell>
          <cell r="E40" t="str">
            <v>经理室</v>
          </cell>
          <cell r="F40" t="str">
            <v>使用中</v>
          </cell>
          <cell r="G40" t="str">
            <v>2701孙勇使用</v>
          </cell>
          <cell r="H40">
            <v>36252</v>
          </cell>
          <cell r="I40" t="str">
            <v>购入</v>
          </cell>
          <cell r="J40" t="str">
            <v>平均年限法</v>
          </cell>
          <cell r="K40" t="str">
            <v>60</v>
          </cell>
          <cell r="L40">
            <v>3100</v>
          </cell>
          <cell r="M40">
            <v>400.96</v>
          </cell>
          <cell r="N40">
            <v>2699.04</v>
          </cell>
          <cell r="O40">
            <v>93</v>
          </cell>
          <cell r="P40">
            <v>3100</v>
          </cell>
          <cell r="Q40">
            <v>60</v>
          </cell>
        </row>
        <row r="41">
          <cell r="A41" t="str">
            <v>JJ507</v>
          </cell>
          <cell r="B41" t="str">
            <v>会议桌</v>
          </cell>
          <cell r="D41" t="str">
            <v>经租机电</v>
          </cell>
          <cell r="E41" t="str">
            <v>中企物业管理有限公司</v>
          </cell>
          <cell r="F41" t="str">
            <v>使用中</v>
          </cell>
          <cell r="G41" t="str">
            <v>7楼会议室</v>
          </cell>
          <cell r="H41">
            <v>36511</v>
          </cell>
          <cell r="I41" t="str">
            <v>购入</v>
          </cell>
          <cell r="J41" t="str">
            <v>平均年限法</v>
          </cell>
          <cell r="K41" t="str">
            <v>60</v>
          </cell>
          <cell r="L41">
            <v>3800</v>
          </cell>
          <cell r="M41">
            <v>0</v>
          </cell>
          <cell r="N41">
            <v>3800</v>
          </cell>
          <cell r="O41">
            <v>114</v>
          </cell>
          <cell r="P41">
            <v>3800</v>
          </cell>
          <cell r="Q41">
            <v>60</v>
          </cell>
        </row>
        <row r="42">
          <cell r="A42" t="str">
            <v>JJ508</v>
          </cell>
          <cell r="B42" t="str">
            <v>会议桌</v>
          </cell>
          <cell r="D42" t="str">
            <v>经租机电</v>
          </cell>
          <cell r="E42" t="str">
            <v>中企物业管理有限公司</v>
          </cell>
          <cell r="F42" t="str">
            <v>使用中</v>
          </cell>
          <cell r="G42" t="str">
            <v>7楼会议室</v>
          </cell>
          <cell r="H42">
            <v>36511</v>
          </cell>
          <cell r="I42" t="str">
            <v>购入</v>
          </cell>
          <cell r="J42" t="str">
            <v>平均年限法</v>
          </cell>
          <cell r="K42" t="str">
            <v>60</v>
          </cell>
          <cell r="L42">
            <v>5800</v>
          </cell>
          <cell r="M42">
            <v>0</v>
          </cell>
          <cell r="N42">
            <v>5800</v>
          </cell>
          <cell r="O42">
            <v>174</v>
          </cell>
          <cell r="P42">
            <v>5800</v>
          </cell>
          <cell r="Q42">
            <v>60</v>
          </cell>
        </row>
        <row r="43">
          <cell r="A43" t="str">
            <v>JT501</v>
          </cell>
          <cell r="B43" t="str">
            <v>移动电话</v>
          </cell>
          <cell r="C43" t="str">
            <v>爱立信GH388</v>
          </cell>
          <cell r="D43" t="str">
            <v>机电类</v>
          </cell>
          <cell r="E43" t="str">
            <v>经理室</v>
          </cell>
          <cell r="F43" t="str">
            <v>使用中</v>
          </cell>
          <cell r="G43" t="str">
            <v>盛总转滕国伟</v>
          </cell>
          <cell r="H43">
            <v>35318</v>
          </cell>
          <cell r="I43" t="str">
            <v>购入</v>
          </cell>
          <cell r="J43" t="str">
            <v>平均年限法</v>
          </cell>
          <cell r="K43" t="str">
            <v>60</v>
          </cell>
          <cell r="L43">
            <v>11010</v>
          </cell>
          <cell r="M43">
            <v>6942</v>
          </cell>
          <cell r="N43">
            <v>4068</v>
          </cell>
          <cell r="O43">
            <v>330.3</v>
          </cell>
          <cell r="P43">
            <v>11010</v>
          </cell>
          <cell r="Q43">
            <v>60</v>
          </cell>
        </row>
        <row r="44">
          <cell r="A44" t="str">
            <v>JT507</v>
          </cell>
          <cell r="B44" t="str">
            <v>移动电话</v>
          </cell>
          <cell r="C44" t="str">
            <v>诺基亚233</v>
          </cell>
          <cell r="D44" t="str">
            <v>机电类</v>
          </cell>
          <cell r="E44" t="str">
            <v>经理室</v>
          </cell>
          <cell r="F44" t="str">
            <v>使用中</v>
          </cell>
          <cell r="G44" t="str">
            <v>滕国伟转金爱薇</v>
          </cell>
          <cell r="H44">
            <v>35809</v>
          </cell>
          <cell r="I44" t="str">
            <v>购入</v>
          </cell>
          <cell r="J44" t="str">
            <v>平均年限法</v>
          </cell>
          <cell r="K44" t="str">
            <v>60</v>
          </cell>
          <cell r="L44">
            <v>3400</v>
          </cell>
          <cell r="M44">
            <v>1264.27</v>
          </cell>
          <cell r="N44">
            <v>2135.73</v>
          </cell>
          <cell r="O44">
            <v>102</v>
          </cell>
          <cell r="P44">
            <v>3400</v>
          </cell>
          <cell r="Q44">
            <v>60</v>
          </cell>
        </row>
        <row r="45">
          <cell r="A45" t="str">
            <v>JT508</v>
          </cell>
          <cell r="B45" t="str">
            <v>移动电话</v>
          </cell>
          <cell r="C45" t="str">
            <v>GH398</v>
          </cell>
          <cell r="D45" t="str">
            <v>机电类</v>
          </cell>
          <cell r="E45" t="str">
            <v>经理室</v>
          </cell>
          <cell r="F45" t="str">
            <v>使用中</v>
          </cell>
          <cell r="G45" t="str">
            <v>程良转印学青</v>
          </cell>
          <cell r="H45">
            <v>35899</v>
          </cell>
          <cell r="I45" t="str">
            <v>购入</v>
          </cell>
          <cell r="J45" t="str">
            <v>平均年限法</v>
          </cell>
          <cell r="K45" t="str">
            <v>60</v>
          </cell>
          <cell r="L45">
            <v>3880</v>
          </cell>
          <cell r="M45">
            <v>1254.56</v>
          </cell>
          <cell r="N45">
            <v>2625.44</v>
          </cell>
          <cell r="O45">
            <v>116.4</v>
          </cell>
          <cell r="P45">
            <v>3880</v>
          </cell>
          <cell r="Q45">
            <v>60</v>
          </cell>
        </row>
        <row r="46">
          <cell r="A46" t="str">
            <v>JT509</v>
          </cell>
          <cell r="B46" t="str">
            <v>移动电话</v>
          </cell>
          <cell r="C46" t="str">
            <v>爱立信GH398</v>
          </cell>
          <cell r="D46" t="str">
            <v>机电类</v>
          </cell>
          <cell r="E46" t="str">
            <v>经理室</v>
          </cell>
          <cell r="F46" t="str">
            <v>使用中</v>
          </cell>
          <cell r="G46" t="str">
            <v>夏超寅</v>
          </cell>
          <cell r="H46">
            <v>35899</v>
          </cell>
          <cell r="I46" t="str">
            <v>购入</v>
          </cell>
          <cell r="J46" t="str">
            <v>平均年限法</v>
          </cell>
          <cell r="K46" t="str">
            <v>60</v>
          </cell>
          <cell r="L46">
            <v>3880</v>
          </cell>
          <cell r="M46">
            <v>1254.56</v>
          </cell>
          <cell r="N46">
            <v>2625.44</v>
          </cell>
          <cell r="O46">
            <v>116.4</v>
          </cell>
          <cell r="P46">
            <v>3880</v>
          </cell>
          <cell r="Q46">
            <v>60</v>
          </cell>
        </row>
        <row r="47">
          <cell r="A47" t="str">
            <v>JT510</v>
          </cell>
          <cell r="B47" t="str">
            <v>移动电话</v>
          </cell>
          <cell r="C47" t="str">
            <v>GH398</v>
          </cell>
          <cell r="D47" t="str">
            <v>机电类</v>
          </cell>
          <cell r="E47" t="str">
            <v>经理室</v>
          </cell>
          <cell r="F47" t="str">
            <v>使用中</v>
          </cell>
          <cell r="G47" t="str">
            <v>张慧娟</v>
          </cell>
          <cell r="H47">
            <v>35957</v>
          </cell>
          <cell r="I47" t="str">
            <v>其他增加</v>
          </cell>
          <cell r="J47" t="str">
            <v>平均年限法</v>
          </cell>
          <cell r="K47" t="str">
            <v>60</v>
          </cell>
          <cell r="L47">
            <v>3880</v>
          </cell>
          <cell r="M47">
            <v>1129.1199999999999</v>
          </cell>
          <cell r="N47">
            <v>2750.88</v>
          </cell>
          <cell r="O47">
            <v>116.4</v>
          </cell>
          <cell r="P47">
            <v>3880</v>
          </cell>
          <cell r="Q47">
            <v>60</v>
          </cell>
        </row>
        <row r="48">
          <cell r="A48" t="str">
            <v>JT511</v>
          </cell>
          <cell r="B48" t="str">
            <v>移动电话</v>
          </cell>
          <cell r="C48" t="str">
            <v>GH398</v>
          </cell>
          <cell r="D48" t="str">
            <v>机电类</v>
          </cell>
          <cell r="E48" t="str">
            <v>经理室</v>
          </cell>
          <cell r="F48" t="str">
            <v>使用中</v>
          </cell>
          <cell r="G48" t="str">
            <v>朱建中</v>
          </cell>
          <cell r="H48">
            <v>35957</v>
          </cell>
          <cell r="I48" t="str">
            <v>其他增加</v>
          </cell>
          <cell r="J48" t="str">
            <v>平均年限法</v>
          </cell>
          <cell r="K48" t="str">
            <v>60</v>
          </cell>
          <cell r="L48">
            <v>3880</v>
          </cell>
          <cell r="M48">
            <v>1129.1199999999999</v>
          </cell>
          <cell r="N48">
            <v>2750.88</v>
          </cell>
          <cell r="O48">
            <v>116.4</v>
          </cell>
          <cell r="P48">
            <v>3880</v>
          </cell>
          <cell r="Q48">
            <v>60</v>
          </cell>
        </row>
        <row r="49">
          <cell r="A49" t="str">
            <v>JT512</v>
          </cell>
          <cell r="B49" t="str">
            <v>移动电话</v>
          </cell>
          <cell r="D49" t="str">
            <v>机电类</v>
          </cell>
          <cell r="E49" t="str">
            <v>办公室</v>
          </cell>
          <cell r="F49" t="str">
            <v>使用中</v>
          </cell>
          <cell r="G49" t="str">
            <v>陆永良</v>
          </cell>
          <cell r="H49">
            <v>32918</v>
          </cell>
          <cell r="I49" t="str">
            <v>其他增加</v>
          </cell>
          <cell r="J49" t="str">
            <v>平均年限法</v>
          </cell>
          <cell r="K49" t="str">
            <v>60</v>
          </cell>
          <cell r="L49">
            <v>13440</v>
          </cell>
          <cell r="M49">
            <v>13037</v>
          </cell>
          <cell r="N49">
            <v>403</v>
          </cell>
          <cell r="O49">
            <v>403.2</v>
          </cell>
          <cell r="P49">
            <v>13440</v>
          </cell>
          <cell r="Q49">
            <v>60</v>
          </cell>
        </row>
        <row r="50">
          <cell r="A50" t="str">
            <v>JT513</v>
          </cell>
          <cell r="B50" t="str">
            <v>移动电话</v>
          </cell>
          <cell r="D50" t="str">
            <v>机电类</v>
          </cell>
          <cell r="E50" t="str">
            <v>办公室</v>
          </cell>
          <cell r="F50" t="str">
            <v>使用中</v>
          </cell>
          <cell r="G50" t="str">
            <v>朱迎新</v>
          </cell>
          <cell r="H50">
            <v>32930</v>
          </cell>
          <cell r="I50" t="str">
            <v>其他增加</v>
          </cell>
          <cell r="J50" t="str">
            <v>平均年限法</v>
          </cell>
          <cell r="K50" t="str">
            <v>60</v>
          </cell>
          <cell r="L50">
            <v>13440</v>
          </cell>
          <cell r="M50">
            <v>13037</v>
          </cell>
          <cell r="N50">
            <v>403</v>
          </cell>
          <cell r="O50">
            <v>403.2</v>
          </cell>
          <cell r="P50">
            <v>13440</v>
          </cell>
          <cell r="Q50">
            <v>60</v>
          </cell>
        </row>
        <row r="51">
          <cell r="A51" t="str">
            <v>JT514</v>
          </cell>
          <cell r="B51" t="str">
            <v>摩托罗拉CD928</v>
          </cell>
          <cell r="D51" t="str">
            <v>机电类</v>
          </cell>
          <cell r="E51" t="str">
            <v>经理室</v>
          </cell>
          <cell r="F51" t="str">
            <v>使用中</v>
          </cell>
          <cell r="G51" t="str">
            <v>孙勇</v>
          </cell>
          <cell r="H51">
            <v>36227</v>
          </cell>
          <cell r="I51" t="str">
            <v>购入</v>
          </cell>
          <cell r="J51" t="str">
            <v>平均年限法</v>
          </cell>
          <cell r="K51" t="str">
            <v>60</v>
          </cell>
          <cell r="L51">
            <v>3200</v>
          </cell>
          <cell r="M51">
            <v>465.57</v>
          </cell>
          <cell r="N51">
            <v>2734.43</v>
          </cell>
          <cell r="O51">
            <v>96</v>
          </cell>
          <cell r="P51">
            <v>3200</v>
          </cell>
          <cell r="Q51">
            <v>60</v>
          </cell>
        </row>
        <row r="52">
          <cell r="A52" t="str">
            <v>JT515</v>
          </cell>
          <cell r="B52" t="str">
            <v>移动电话</v>
          </cell>
          <cell r="C52" t="str">
            <v>摩托罗拉928</v>
          </cell>
          <cell r="D52" t="str">
            <v>机电类</v>
          </cell>
          <cell r="E52" t="str">
            <v>经理室</v>
          </cell>
          <cell r="F52" t="str">
            <v>使用中</v>
          </cell>
          <cell r="G52" t="str">
            <v>朱胜杰</v>
          </cell>
          <cell r="H52">
            <v>36243</v>
          </cell>
          <cell r="I52" t="str">
            <v>购入</v>
          </cell>
          <cell r="J52" t="str">
            <v>平均年限法</v>
          </cell>
          <cell r="K52" t="str">
            <v>60</v>
          </cell>
          <cell r="L52">
            <v>3300</v>
          </cell>
          <cell r="M52">
            <v>480.15</v>
          </cell>
          <cell r="N52">
            <v>2819.85</v>
          </cell>
          <cell r="O52">
            <v>99</v>
          </cell>
          <cell r="P52">
            <v>3300</v>
          </cell>
          <cell r="Q52">
            <v>60</v>
          </cell>
        </row>
        <row r="53">
          <cell r="A53" t="str">
            <v>JT516</v>
          </cell>
          <cell r="B53" t="str">
            <v>移动电话</v>
          </cell>
          <cell r="C53" t="str">
            <v>诺基亚5110</v>
          </cell>
          <cell r="D53" t="str">
            <v>机电类</v>
          </cell>
          <cell r="E53" t="str">
            <v>总公司</v>
          </cell>
          <cell r="F53" t="str">
            <v>使用中</v>
          </cell>
          <cell r="G53" t="str">
            <v>陈惠忠2608</v>
          </cell>
          <cell r="H53">
            <v>36355</v>
          </cell>
          <cell r="I53" t="str">
            <v>购入</v>
          </cell>
          <cell r="J53" t="str">
            <v>平均年限法</v>
          </cell>
          <cell r="K53" t="str">
            <v>60</v>
          </cell>
          <cell r="L53">
            <v>1680</v>
          </cell>
          <cell r="M53">
            <v>135.80000000000001</v>
          </cell>
          <cell r="N53">
            <v>1544.2</v>
          </cell>
          <cell r="O53">
            <v>50.4</v>
          </cell>
          <cell r="P53">
            <v>1680</v>
          </cell>
          <cell r="Q53">
            <v>60</v>
          </cell>
        </row>
        <row r="54">
          <cell r="A54" t="str">
            <v>JT517</v>
          </cell>
          <cell r="B54" t="str">
            <v>无绳电话</v>
          </cell>
          <cell r="C54" t="str">
            <v>SONY8700</v>
          </cell>
          <cell r="D54" t="str">
            <v>经租机电</v>
          </cell>
          <cell r="E54" t="str">
            <v>中企物业管理有限公司</v>
          </cell>
          <cell r="F54" t="str">
            <v>使用中</v>
          </cell>
          <cell r="G54" t="str">
            <v>长乐路</v>
          </cell>
          <cell r="H54">
            <v>36521</v>
          </cell>
          <cell r="I54" t="str">
            <v>其他增加</v>
          </cell>
          <cell r="J54" t="str">
            <v>平均年限法</v>
          </cell>
          <cell r="K54" t="str">
            <v>9</v>
          </cell>
          <cell r="L54">
            <v>763.63</v>
          </cell>
          <cell r="M54">
            <v>0</v>
          </cell>
          <cell r="N54">
            <v>763.63</v>
          </cell>
          <cell r="O54">
            <v>22.91</v>
          </cell>
          <cell r="P54">
            <v>763.63</v>
          </cell>
          <cell r="Q54">
            <v>9</v>
          </cell>
        </row>
        <row r="55">
          <cell r="A55" t="str">
            <v>JT518</v>
          </cell>
          <cell r="B55" t="str">
            <v>无绳电话</v>
          </cell>
          <cell r="C55" t="str">
            <v>SONY8700</v>
          </cell>
          <cell r="D55" t="str">
            <v>经租机电</v>
          </cell>
          <cell r="E55" t="str">
            <v>中企物业管理有限公司</v>
          </cell>
          <cell r="F55" t="str">
            <v>使用中</v>
          </cell>
          <cell r="G55" t="str">
            <v>长乐路</v>
          </cell>
          <cell r="H55">
            <v>36521</v>
          </cell>
          <cell r="I55" t="str">
            <v>其他增加</v>
          </cell>
          <cell r="J55" t="str">
            <v>平均年限法</v>
          </cell>
          <cell r="K55" t="str">
            <v>9</v>
          </cell>
          <cell r="L55">
            <v>734.87</v>
          </cell>
          <cell r="M55">
            <v>79.2</v>
          </cell>
          <cell r="N55">
            <v>655.67</v>
          </cell>
          <cell r="O55">
            <v>22.05</v>
          </cell>
          <cell r="P55">
            <v>734.87</v>
          </cell>
          <cell r="Q55">
            <v>9</v>
          </cell>
        </row>
        <row r="56">
          <cell r="A56" t="str">
            <v>JT519</v>
          </cell>
          <cell r="B56" t="str">
            <v>电话总机</v>
          </cell>
          <cell r="C56" t="str">
            <v>KT-10</v>
          </cell>
          <cell r="D56" t="str">
            <v>经租机电</v>
          </cell>
          <cell r="E56" t="str">
            <v>中企物业管理有限公司</v>
          </cell>
          <cell r="F56" t="str">
            <v>使用中</v>
          </cell>
          <cell r="G56" t="str">
            <v>长乐路</v>
          </cell>
          <cell r="H56">
            <v>36521</v>
          </cell>
          <cell r="I56" t="str">
            <v>其他增加</v>
          </cell>
          <cell r="J56" t="str">
            <v>平均年限法</v>
          </cell>
          <cell r="K56" t="str">
            <v>11</v>
          </cell>
          <cell r="L56">
            <v>4611.32</v>
          </cell>
          <cell r="M56">
            <v>406.63</v>
          </cell>
          <cell r="N56">
            <v>4204.6899999999996</v>
          </cell>
          <cell r="O56">
            <v>138.34</v>
          </cell>
          <cell r="P56">
            <v>4611.32</v>
          </cell>
          <cell r="Q56">
            <v>11</v>
          </cell>
        </row>
        <row r="57">
          <cell r="A57" t="str">
            <v>JT520</v>
          </cell>
          <cell r="B57" t="str">
            <v>载波电话</v>
          </cell>
          <cell r="C57" t="str">
            <v>ETECH</v>
          </cell>
          <cell r="D57" t="str">
            <v>经租机电</v>
          </cell>
          <cell r="E57" t="str">
            <v>中企物业管理有限公司</v>
          </cell>
          <cell r="F57" t="str">
            <v>使用中</v>
          </cell>
          <cell r="G57" t="str">
            <v>长乐路</v>
          </cell>
          <cell r="H57">
            <v>36521</v>
          </cell>
          <cell r="I57" t="str">
            <v>其他增加</v>
          </cell>
          <cell r="J57" t="str">
            <v>平均年限法</v>
          </cell>
          <cell r="K57" t="str">
            <v>17</v>
          </cell>
          <cell r="L57">
            <v>7110.94</v>
          </cell>
          <cell r="M57">
            <v>405.74</v>
          </cell>
          <cell r="N57">
            <v>6705.2</v>
          </cell>
          <cell r="O57">
            <v>213.33</v>
          </cell>
          <cell r="P57">
            <v>7110.94</v>
          </cell>
          <cell r="Q57">
            <v>17</v>
          </cell>
        </row>
        <row r="58">
          <cell r="A58" t="str">
            <v>JT521</v>
          </cell>
          <cell r="B58" t="str">
            <v>移动电话</v>
          </cell>
          <cell r="C58" t="str">
            <v>摩托罗拉L2000</v>
          </cell>
          <cell r="D58" t="str">
            <v>机电类</v>
          </cell>
          <cell r="E58" t="str">
            <v>经理室</v>
          </cell>
          <cell r="F58" t="str">
            <v>使用中</v>
          </cell>
          <cell r="G58" t="str">
            <v>张慧娟</v>
          </cell>
          <cell r="H58">
            <v>36522</v>
          </cell>
          <cell r="I58" t="str">
            <v>购入</v>
          </cell>
          <cell r="J58" t="str">
            <v>平均年限法</v>
          </cell>
          <cell r="K58" t="str">
            <v>60</v>
          </cell>
          <cell r="L58">
            <v>2480</v>
          </cell>
          <cell r="M58">
            <v>0</v>
          </cell>
          <cell r="N58">
            <v>2480</v>
          </cell>
          <cell r="O58">
            <v>74.400000000000006</v>
          </cell>
          <cell r="P58">
            <v>2480</v>
          </cell>
          <cell r="Q58">
            <v>60</v>
          </cell>
        </row>
        <row r="59">
          <cell r="A59" t="str">
            <v>JT522</v>
          </cell>
          <cell r="B59" t="str">
            <v>移动电话</v>
          </cell>
          <cell r="C59" t="str">
            <v>摩托罗拉L2000</v>
          </cell>
          <cell r="D59" t="str">
            <v>机电类</v>
          </cell>
          <cell r="E59" t="str">
            <v>经理室</v>
          </cell>
          <cell r="F59" t="str">
            <v>使用中</v>
          </cell>
          <cell r="G59" t="str">
            <v>李敏</v>
          </cell>
          <cell r="H59">
            <v>36522</v>
          </cell>
          <cell r="I59" t="str">
            <v>购入</v>
          </cell>
          <cell r="J59" t="str">
            <v>平均年限法</v>
          </cell>
          <cell r="K59" t="str">
            <v>60</v>
          </cell>
          <cell r="L59">
            <v>2480</v>
          </cell>
          <cell r="M59">
            <v>0</v>
          </cell>
          <cell r="N59">
            <v>2480</v>
          </cell>
          <cell r="O59">
            <v>74.400000000000006</v>
          </cell>
          <cell r="P59">
            <v>2480</v>
          </cell>
          <cell r="Q59">
            <v>60</v>
          </cell>
        </row>
        <row r="60">
          <cell r="A60" t="str">
            <v>JT523</v>
          </cell>
          <cell r="B60" t="str">
            <v>移动电话</v>
          </cell>
          <cell r="C60" t="str">
            <v>摩托罗拉</v>
          </cell>
          <cell r="D60" t="str">
            <v>机电类</v>
          </cell>
          <cell r="E60" t="str">
            <v>经理室</v>
          </cell>
          <cell r="F60" t="str">
            <v>使用中</v>
          </cell>
          <cell r="G60" t="str">
            <v>滕国伟</v>
          </cell>
          <cell r="H60">
            <v>36522</v>
          </cell>
          <cell r="I60" t="str">
            <v>购入</v>
          </cell>
          <cell r="J60" t="str">
            <v>平均年限法</v>
          </cell>
          <cell r="K60" t="str">
            <v>60</v>
          </cell>
          <cell r="L60">
            <v>2480</v>
          </cell>
          <cell r="M60">
            <v>0</v>
          </cell>
          <cell r="N60">
            <v>2480</v>
          </cell>
          <cell r="O60">
            <v>74.400000000000006</v>
          </cell>
          <cell r="P60">
            <v>2480</v>
          </cell>
          <cell r="Q60">
            <v>60</v>
          </cell>
        </row>
        <row r="61">
          <cell r="A61" t="str">
            <v>JTa004</v>
          </cell>
          <cell r="B61" t="str">
            <v>移动电话</v>
          </cell>
          <cell r="C61" t="str">
            <v>8200C</v>
          </cell>
          <cell r="D61" t="str">
            <v>机电类</v>
          </cell>
          <cell r="E61" t="str">
            <v>办公室</v>
          </cell>
          <cell r="F61" t="str">
            <v>使用中</v>
          </cell>
          <cell r="H61">
            <v>35166</v>
          </cell>
          <cell r="I61" t="str">
            <v>其他增加</v>
          </cell>
          <cell r="J61" t="str">
            <v>平均年限法</v>
          </cell>
          <cell r="K61" t="str">
            <v>60</v>
          </cell>
          <cell r="L61">
            <v>6625.63</v>
          </cell>
          <cell r="M61">
            <v>3415.7</v>
          </cell>
          <cell r="N61">
            <v>3209.93</v>
          </cell>
          <cell r="O61">
            <v>333.6</v>
          </cell>
          <cell r="P61">
            <v>11120</v>
          </cell>
          <cell r="Q61">
            <v>60</v>
          </cell>
        </row>
        <row r="62">
          <cell r="A62" t="str">
            <v>JTa005</v>
          </cell>
          <cell r="B62" t="str">
            <v>电话产权</v>
          </cell>
          <cell r="D62" t="str">
            <v>经租机电</v>
          </cell>
          <cell r="E62" t="str">
            <v>企华置业有限公司</v>
          </cell>
          <cell r="F62" t="str">
            <v>使用中</v>
          </cell>
          <cell r="G62" t="str">
            <v>建国东路</v>
          </cell>
          <cell r="H62">
            <v>34945</v>
          </cell>
          <cell r="I62" t="str">
            <v>购入</v>
          </cell>
          <cell r="J62" t="str">
            <v>平均年限法</v>
          </cell>
          <cell r="K62" t="str">
            <v>60</v>
          </cell>
          <cell r="L62">
            <v>3620</v>
          </cell>
          <cell r="M62">
            <v>2303.75</v>
          </cell>
          <cell r="N62">
            <v>1316.25</v>
          </cell>
          <cell r="O62">
            <v>225</v>
          </cell>
          <cell r="P62">
            <v>7500</v>
          </cell>
          <cell r="Q62">
            <v>60</v>
          </cell>
        </row>
        <row r="63">
          <cell r="A63" t="str">
            <v>JTa006</v>
          </cell>
          <cell r="B63" t="str">
            <v>电话产权</v>
          </cell>
          <cell r="D63" t="str">
            <v>经租机电</v>
          </cell>
          <cell r="E63" t="str">
            <v>企华置业有限公司</v>
          </cell>
          <cell r="F63" t="str">
            <v>使用中</v>
          </cell>
          <cell r="G63" t="str">
            <v>建国东路</v>
          </cell>
          <cell r="H63">
            <v>34945</v>
          </cell>
          <cell r="I63" t="str">
            <v>购入</v>
          </cell>
          <cell r="J63" t="str">
            <v>平均年限法</v>
          </cell>
          <cell r="K63" t="str">
            <v>60</v>
          </cell>
          <cell r="L63">
            <v>3620</v>
          </cell>
          <cell r="M63">
            <v>2327.0300000000002</v>
          </cell>
          <cell r="N63">
            <v>1292.97</v>
          </cell>
          <cell r="O63">
            <v>108.6</v>
          </cell>
          <cell r="P63">
            <v>7500</v>
          </cell>
          <cell r="Q63">
            <v>60</v>
          </cell>
        </row>
        <row r="64">
          <cell r="A64" t="str">
            <v>JX502</v>
          </cell>
          <cell r="B64" t="str">
            <v>UPS</v>
          </cell>
          <cell r="C64" t="str">
            <v>山特500W</v>
          </cell>
          <cell r="D64" t="str">
            <v>电脑,打印机</v>
          </cell>
          <cell r="E64" t="str">
            <v>科技发展部</v>
          </cell>
          <cell r="F64" t="str">
            <v>使用中</v>
          </cell>
          <cell r="G64" t="str">
            <v>总工程师室2707</v>
          </cell>
          <cell r="H64">
            <v>34691</v>
          </cell>
          <cell r="I64" t="str">
            <v>购入</v>
          </cell>
          <cell r="J64" t="str">
            <v>平均年限法</v>
          </cell>
          <cell r="K64" t="str">
            <v>60</v>
          </cell>
          <cell r="L64">
            <v>1200</v>
          </cell>
          <cell r="M64">
            <v>1200</v>
          </cell>
          <cell r="N64">
            <v>0</v>
          </cell>
          <cell r="O64">
            <v>0</v>
          </cell>
          <cell r="P64">
            <v>1200</v>
          </cell>
          <cell r="Q64">
            <v>60</v>
          </cell>
        </row>
        <row r="65">
          <cell r="A65" t="str">
            <v>JX503</v>
          </cell>
          <cell r="B65" t="str">
            <v>电脑</v>
          </cell>
          <cell r="C65" t="str">
            <v>COMPAQ486/50</v>
          </cell>
          <cell r="D65" t="str">
            <v>电脑,打印机</v>
          </cell>
          <cell r="E65" t="str">
            <v>科技发展部</v>
          </cell>
          <cell r="F65" t="str">
            <v>使用中</v>
          </cell>
          <cell r="G65" t="str">
            <v>打印室</v>
          </cell>
          <cell r="H65">
            <v>34691</v>
          </cell>
          <cell r="I65" t="str">
            <v>购入</v>
          </cell>
          <cell r="J65" t="str">
            <v>平均年限法</v>
          </cell>
          <cell r="K65" t="str">
            <v>60</v>
          </cell>
          <cell r="L65">
            <v>18600</v>
          </cell>
          <cell r="M65">
            <v>18600</v>
          </cell>
          <cell r="N65">
            <v>0</v>
          </cell>
          <cell r="O65">
            <v>0</v>
          </cell>
          <cell r="P65">
            <v>18600</v>
          </cell>
          <cell r="Q65">
            <v>60</v>
          </cell>
        </row>
        <row r="66">
          <cell r="A66" t="str">
            <v>JX504</v>
          </cell>
          <cell r="B66" t="str">
            <v>电脑</v>
          </cell>
          <cell r="C66" t="str">
            <v>COMPAQ486/50</v>
          </cell>
          <cell r="D66" t="str">
            <v>电脑,打印机</v>
          </cell>
          <cell r="E66" t="str">
            <v>科技发展部</v>
          </cell>
          <cell r="F66" t="str">
            <v>使用中</v>
          </cell>
          <cell r="G66" t="str">
            <v>总工程师室</v>
          </cell>
          <cell r="H66">
            <v>34691</v>
          </cell>
          <cell r="I66" t="str">
            <v>购入</v>
          </cell>
          <cell r="J66" t="str">
            <v>平均年限法</v>
          </cell>
          <cell r="K66" t="str">
            <v>60</v>
          </cell>
          <cell r="L66">
            <v>19800</v>
          </cell>
          <cell r="M66">
            <v>19800</v>
          </cell>
          <cell r="N66">
            <v>0</v>
          </cell>
          <cell r="O66">
            <v>0</v>
          </cell>
          <cell r="P66">
            <v>19800</v>
          </cell>
          <cell r="Q66">
            <v>60</v>
          </cell>
        </row>
        <row r="67">
          <cell r="A67" t="str">
            <v>JX505</v>
          </cell>
          <cell r="B67" t="str">
            <v>UPS</v>
          </cell>
          <cell r="C67" t="str">
            <v>山特500W</v>
          </cell>
          <cell r="D67" t="str">
            <v>电脑,打印机</v>
          </cell>
          <cell r="E67" t="str">
            <v>科技发展部</v>
          </cell>
          <cell r="F67" t="str">
            <v>使用中</v>
          </cell>
          <cell r="G67" t="str">
            <v>董事长室2703</v>
          </cell>
          <cell r="H67">
            <v>34691</v>
          </cell>
          <cell r="I67" t="str">
            <v>购入</v>
          </cell>
          <cell r="J67" t="str">
            <v>平均年限法</v>
          </cell>
          <cell r="K67" t="str">
            <v>60</v>
          </cell>
          <cell r="L67">
            <v>1200</v>
          </cell>
          <cell r="M67">
            <v>1200</v>
          </cell>
          <cell r="N67">
            <v>0</v>
          </cell>
          <cell r="O67">
            <v>0</v>
          </cell>
          <cell r="P67">
            <v>1200</v>
          </cell>
          <cell r="Q67">
            <v>60</v>
          </cell>
        </row>
        <row r="68">
          <cell r="A68" t="str">
            <v>JX506</v>
          </cell>
          <cell r="B68" t="str">
            <v>电脑</v>
          </cell>
          <cell r="C68" t="str">
            <v>386DX/40</v>
          </cell>
          <cell r="D68" t="str">
            <v>电脑,打印机</v>
          </cell>
          <cell r="E68" t="str">
            <v>科技发展部</v>
          </cell>
          <cell r="F68" t="str">
            <v>使用中</v>
          </cell>
          <cell r="G68" t="str">
            <v>2708</v>
          </cell>
          <cell r="H68">
            <v>34326</v>
          </cell>
          <cell r="I68" t="str">
            <v>购入</v>
          </cell>
          <cell r="J68" t="str">
            <v>平均年限法</v>
          </cell>
          <cell r="K68" t="str">
            <v>60</v>
          </cell>
          <cell r="L68">
            <v>9650</v>
          </cell>
          <cell r="M68">
            <v>9650</v>
          </cell>
          <cell r="N68">
            <v>0</v>
          </cell>
          <cell r="O68">
            <v>0</v>
          </cell>
          <cell r="P68">
            <v>9650</v>
          </cell>
          <cell r="Q68">
            <v>60</v>
          </cell>
        </row>
        <row r="69">
          <cell r="A69" t="str">
            <v>JX507</v>
          </cell>
          <cell r="B69" t="str">
            <v>电脑</v>
          </cell>
          <cell r="C69" t="str">
            <v>EK586</v>
          </cell>
          <cell r="D69" t="str">
            <v>电脑,打印机</v>
          </cell>
          <cell r="E69" t="str">
            <v>科技发展部</v>
          </cell>
          <cell r="F69" t="str">
            <v>使用中</v>
          </cell>
          <cell r="G69" t="str">
            <v>人事部2710</v>
          </cell>
          <cell r="H69">
            <v>35341</v>
          </cell>
          <cell r="I69" t="str">
            <v>购入</v>
          </cell>
          <cell r="J69" t="str">
            <v>平均年限法</v>
          </cell>
          <cell r="K69" t="str">
            <v>60</v>
          </cell>
          <cell r="L69">
            <v>8500</v>
          </cell>
          <cell r="M69">
            <v>8500</v>
          </cell>
          <cell r="N69">
            <v>0</v>
          </cell>
          <cell r="O69">
            <v>0</v>
          </cell>
          <cell r="P69">
            <v>8500</v>
          </cell>
          <cell r="Q69">
            <v>60</v>
          </cell>
        </row>
        <row r="70">
          <cell r="A70" t="str">
            <v>JX508</v>
          </cell>
          <cell r="B70" t="str">
            <v>UPS</v>
          </cell>
          <cell r="C70" t="str">
            <v>山特500W</v>
          </cell>
          <cell r="D70" t="str">
            <v>电脑,打印机</v>
          </cell>
          <cell r="E70" t="str">
            <v>科技发展部</v>
          </cell>
          <cell r="F70" t="str">
            <v>使用中</v>
          </cell>
          <cell r="G70" t="str">
            <v>人事部2710</v>
          </cell>
          <cell r="H70">
            <v>34691</v>
          </cell>
          <cell r="I70" t="str">
            <v>购入</v>
          </cell>
          <cell r="J70" t="str">
            <v>平均年限法</v>
          </cell>
          <cell r="K70" t="str">
            <v>60</v>
          </cell>
          <cell r="L70">
            <v>1200</v>
          </cell>
          <cell r="M70">
            <v>1200</v>
          </cell>
          <cell r="N70">
            <v>0</v>
          </cell>
          <cell r="O70">
            <v>0</v>
          </cell>
          <cell r="P70">
            <v>1200</v>
          </cell>
          <cell r="Q70">
            <v>60</v>
          </cell>
        </row>
        <row r="71">
          <cell r="A71" t="str">
            <v>JX510</v>
          </cell>
          <cell r="B71" t="str">
            <v>电脑</v>
          </cell>
          <cell r="C71" t="str">
            <v>386DX/40</v>
          </cell>
          <cell r="D71" t="str">
            <v>电脑,打印机</v>
          </cell>
          <cell r="E71" t="str">
            <v>科技发展部</v>
          </cell>
          <cell r="F71" t="str">
            <v>使用中</v>
          </cell>
          <cell r="G71" t="str">
            <v>办公室</v>
          </cell>
          <cell r="H71">
            <v>34326</v>
          </cell>
          <cell r="I71" t="str">
            <v>购入</v>
          </cell>
          <cell r="J71" t="str">
            <v>平均年限法</v>
          </cell>
          <cell r="K71" t="str">
            <v>60</v>
          </cell>
          <cell r="L71">
            <v>9650</v>
          </cell>
          <cell r="M71">
            <v>9650</v>
          </cell>
          <cell r="N71">
            <v>0</v>
          </cell>
          <cell r="O71">
            <v>0</v>
          </cell>
          <cell r="P71">
            <v>9650</v>
          </cell>
          <cell r="Q71">
            <v>60</v>
          </cell>
        </row>
        <row r="72">
          <cell r="A72" t="str">
            <v>JX511</v>
          </cell>
          <cell r="B72" t="str">
            <v>电脑</v>
          </cell>
          <cell r="C72" t="str">
            <v>COMPAQ486/50</v>
          </cell>
          <cell r="D72" t="str">
            <v>电脑,打印机</v>
          </cell>
          <cell r="E72" t="str">
            <v>科技发展部</v>
          </cell>
          <cell r="F72" t="str">
            <v>使用中</v>
          </cell>
          <cell r="G72" t="str">
            <v>办公室2702</v>
          </cell>
          <cell r="H72">
            <v>34691</v>
          </cell>
          <cell r="I72" t="str">
            <v>购入</v>
          </cell>
          <cell r="J72" t="str">
            <v>平均年限法</v>
          </cell>
          <cell r="K72" t="str">
            <v>60</v>
          </cell>
          <cell r="L72">
            <v>18600</v>
          </cell>
          <cell r="M72">
            <v>18600</v>
          </cell>
          <cell r="N72">
            <v>0</v>
          </cell>
          <cell r="O72">
            <v>0</v>
          </cell>
          <cell r="P72">
            <v>18600</v>
          </cell>
          <cell r="Q72">
            <v>60</v>
          </cell>
        </row>
        <row r="73">
          <cell r="A73" t="str">
            <v>JX512</v>
          </cell>
          <cell r="B73" t="str">
            <v>电脑</v>
          </cell>
          <cell r="C73" t="str">
            <v>COMPAQ512</v>
          </cell>
          <cell r="D73" t="str">
            <v>电脑,打印机</v>
          </cell>
          <cell r="E73" t="str">
            <v>科技发展部</v>
          </cell>
          <cell r="F73" t="str">
            <v>使用中</v>
          </cell>
          <cell r="G73" t="str">
            <v>办公室</v>
          </cell>
          <cell r="H73">
            <v>34691</v>
          </cell>
          <cell r="I73" t="str">
            <v>购入</v>
          </cell>
          <cell r="J73" t="str">
            <v>平均年限法</v>
          </cell>
          <cell r="K73" t="str">
            <v>60</v>
          </cell>
          <cell r="L73">
            <v>18600</v>
          </cell>
          <cell r="M73">
            <v>18600</v>
          </cell>
          <cell r="N73">
            <v>0</v>
          </cell>
          <cell r="O73">
            <v>0</v>
          </cell>
          <cell r="P73">
            <v>18600</v>
          </cell>
          <cell r="Q73">
            <v>60</v>
          </cell>
        </row>
        <row r="74">
          <cell r="A74" t="str">
            <v>JX513</v>
          </cell>
          <cell r="B74" t="str">
            <v>打印机</v>
          </cell>
          <cell r="C74" t="str">
            <v>EPSON LQ-1600K</v>
          </cell>
          <cell r="D74" t="str">
            <v>电脑,打印机</v>
          </cell>
          <cell r="E74" t="str">
            <v>科技发展部</v>
          </cell>
          <cell r="F74" t="str">
            <v>使用中</v>
          </cell>
          <cell r="G74" t="str">
            <v>办公室2702</v>
          </cell>
          <cell r="H74">
            <v>34326</v>
          </cell>
          <cell r="I74" t="str">
            <v>购入</v>
          </cell>
          <cell r="J74" t="str">
            <v>平均年限法</v>
          </cell>
          <cell r="K74" t="str">
            <v>60</v>
          </cell>
          <cell r="L74">
            <v>4900</v>
          </cell>
          <cell r="M74">
            <v>4900</v>
          </cell>
          <cell r="N74">
            <v>0</v>
          </cell>
          <cell r="O74">
            <v>0</v>
          </cell>
          <cell r="P74">
            <v>4900</v>
          </cell>
          <cell r="Q74">
            <v>60</v>
          </cell>
        </row>
        <row r="75">
          <cell r="A75" t="str">
            <v>JX514</v>
          </cell>
          <cell r="B75" t="str">
            <v>打印机</v>
          </cell>
          <cell r="C75" t="str">
            <v>LQ-1900K</v>
          </cell>
          <cell r="D75" t="str">
            <v>电脑,打印机</v>
          </cell>
          <cell r="E75" t="str">
            <v>科技发展部</v>
          </cell>
          <cell r="F75" t="str">
            <v>使用中</v>
          </cell>
          <cell r="G75" t="str">
            <v>办公室</v>
          </cell>
          <cell r="H75">
            <v>34693</v>
          </cell>
          <cell r="I75" t="str">
            <v>购入</v>
          </cell>
          <cell r="J75" t="str">
            <v>平均年限法</v>
          </cell>
          <cell r="K75" t="str">
            <v>60</v>
          </cell>
          <cell r="L75">
            <v>6000</v>
          </cell>
          <cell r="M75">
            <v>6000</v>
          </cell>
          <cell r="N75">
            <v>0</v>
          </cell>
          <cell r="O75">
            <v>0</v>
          </cell>
          <cell r="P75">
            <v>6000</v>
          </cell>
          <cell r="Q75">
            <v>60</v>
          </cell>
        </row>
        <row r="76">
          <cell r="A76" t="str">
            <v>JX515</v>
          </cell>
          <cell r="B76" t="str">
            <v>激光打印机</v>
          </cell>
          <cell r="C76" t="str">
            <v>HP4</v>
          </cell>
          <cell r="D76" t="str">
            <v>电脑,打印机</v>
          </cell>
          <cell r="E76" t="str">
            <v>科技发展部</v>
          </cell>
          <cell r="F76" t="str">
            <v>使用中</v>
          </cell>
          <cell r="G76" t="str">
            <v>办公室</v>
          </cell>
          <cell r="H76">
            <v>34326</v>
          </cell>
          <cell r="I76" t="str">
            <v>购入</v>
          </cell>
          <cell r="J76" t="str">
            <v>平均年限法</v>
          </cell>
          <cell r="K76" t="str">
            <v>60</v>
          </cell>
          <cell r="L76">
            <v>18000</v>
          </cell>
          <cell r="M76">
            <v>18000</v>
          </cell>
          <cell r="N76">
            <v>0</v>
          </cell>
          <cell r="O76">
            <v>0</v>
          </cell>
          <cell r="P76">
            <v>18000</v>
          </cell>
          <cell r="Q76">
            <v>60</v>
          </cell>
        </row>
        <row r="77">
          <cell r="A77" t="str">
            <v>JX516</v>
          </cell>
          <cell r="B77" t="str">
            <v>UPS</v>
          </cell>
          <cell r="C77" t="str">
            <v>山特500W</v>
          </cell>
          <cell r="D77" t="str">
            <v>电脑,打印机</v>
          </cell>
          <cell r="E77" t="str">
            <v>科技发展部</v>
          </cell>
          <cell r="F77" t="str">
            <v>使用中</v>
          </cell>
          <cell r="G77" t="str">
            <v>办公室2702</v>
          </cell>
          <cell r="H77">
            <v>34691</v>
          </cell>
          <cell r="I77" t="str">
            <v>购入</v>
          </cell>
          <cell r="J77" t="str">
            <v>平均年限法</v>
          </cell>
          <cell r="K77" t="str">
            <v>60</v>
          </cell>
          <cell r="L77">
            <v>1200</v>
          </cell>
          <cell r="M77">
            <v>1200</v>
          </cell>
          <cell r="N77">
            <v>0</v>
          </cell>
          <cell r="O77">
            <v>0</v>
          </cell>
          <cell r="P77">
            <v>1200</v>
          </cell>
          <cell r="Q77">
            <v>60</v>
          </cell>
        </row>
        <row r="78">
          <cell r="A78" t="str">
            <v>JX517</v>
          </cell>
          <cell r="B78" t="str">
            <v>UPS</v>
          </cell>
          <cell r="C78" t="str">
            <v>山特500W</v>
          </cell>
          <cell r="D78" t="str">
            <v>电脑,打印机</v>
          </cell>
          <cell r="E78" t="str">
            <v>科技发展部</v>
          </cell>
          <cell r="F78" t="str">
            <v>使用中</v>
          </cell>
          <cell r="G78" t="str">
            <v>办公室2702</v>
          </cell>
          <cell r="H78">
            <v>34691</v>
          </cell>
          <cell r="I78" t="str">
            <v>购入</v>
          </cell>
          <cell r="J78" t="str">
            <v>平均年限法</v>
          </cell>
          <cell r="K78" t="str">
            <v>60</v>
          </cell>
          <cell r="L78">
            <v>1200</v>
          </cell>
          <cell r="M78">
            <v>1200</v>
          </cell>
          <cell r="N78">
            <v>0</v>
          </cell>
          <cell r="O78">
            <v>0</v>
          </cell>
          <cell r="P78">
            <v>1200</v>
          </cell>
          <cell r="Q78">
            <v>60</v>
          </cell>
        </row>
        <row r="79">
          <cell r="A79" t="str">
            <v>JX518</v>
          </cell>
          <cell r="B79" t="str">
            <v>UPS</v>
          </cell>
          <cell r="C79" t="str">
            <v>山特500W</v>
          </cell>
          <cell r="D79" t="str">
            <v>电脑,打印机</v>
          </cell>
          <cell r="E79" t="str">
            <v>科技发展部</v>
          </cell>
          <cell r="F79" t="str">
            <v>使用中</v>
          </cell>
          <cell r="G79" t="str">
            <v>办公室2702</v>
          </cell>
          <cell r="H79">
            <v>34691</v>
          </cell>
          <cell r="I79" t="str">
            <v>购入</v>
          </cell>
          <cell r="J79" t="str">
            <v>平均年限法</v>
          </cell>
          <cell r="K79" t="str">
            <v>60</v>
          </cell>
          <cell r="L79">
            <v>1200</v>
          </cell>
          <cell r="M79">
            <v>1200</v>
          </cell>
          <cell r="N79">
            <v>0</v>
          </cell>
          <cell r="O79">
            <v>0</v>
          </cell>
          <cell r="P79">
            <v>1200</v>
          </cell>
          <cell r="Q79">
            <v>60</v>
          </cell>
        </row>
        <row r="80">
          <cell r="A80" t="str">
            <v>JX519</v>
          </cell>
          <cell r="B80" t="str">
            <v>电脑</v>
          </cell>
          <cell r="C80" t="str">
            <v>COMPAQ486/50</v>
          </cell>
          <cell r="D80" t="str">
            <v>电脑,打印机</v>
          </cell>
          <cell r="E80" t="str">
            <v>科技发展部</v>
          </cell>
          <cell r="F80" t="str">
            <v>使用中</v>
          </cell>
          <cell r="G80" t="str">
            <v>投发部</v>
          </cell>
          <cell r="H80">
            <v>34691</v>
          </cell>
          <cell r="I80" t="str">
            <v>购入</v>
          </cell>
          <cell r="J80" t="str">
            <v>平均年限法</v>
          </cell>
          <cell r="K80" t="str">
            <v>60</v>
          </cell>
          <cell r="L80">
            <v>18600</v>
          </cell>
          <cell r="M80">
            <v>18600</v>
          </cell>
          <cell r="N80">
            <v>0</v>
          </cell>
          <cell r="O80">
            <v>0</v>
          </cell>
          <cell r="P80">
            <v>18600</v>
          </cell>
          <cell r="Q80">
            <v>60</v>
          </cell>
        </row>
        <row r="81">
          <cell r="A81" t="str">
            <v>JX520</v>
          </cell>
          <cell r="B81" t="str">
            <v>电脑</v>
          </cell>
          <cell r="C81" t="str">
            <v>COMPAQ486/50</v>
          </cell>
          <cell r="D81" t="str">
            <v>电脑,打印机</v>
          </cell>
          <cell r="E81" t="str">
            <v>科技发展部</v>
          </cell>
          <cell r="F81" t="str">
            <v>使用中</v>
          </cell>
          <cell r="G81" t="str">
            <v>投发部</v>
          </cell>
          <cell r="H81">
            <v>34691</v>
          </cell>
          <cell r="I81" t="str">
            <v>购入</v>
          </cell>
          <cell r="J81" t="str">
            <v>平均年限法</v>
          </cell>
          <cell r="K81" t="str">
            <v>60</v>
          </cell>
          <cell r="L81">
            <v>18600</v>
          </cell>
          <cell r="M81">
            <v>18600</v>
          </cell>
          <cell r="N81">
            <v>0</v>
          </cell>
          <cell r="O81">
            <v>0</v>
          </cell>
          <cell r="P81">
            <v>18600</v>
          </cell>
          <cell r="Q81">
            <v>60</v>
          </cell>
        </row>
        <row r="82">
          <cell r="A82" t="str">
            <v>JX522</v>
          </cell>
          <cell r="B82" t="str">
            <v>UPS</v>
          </cell>
          <cell r="D82" t="str">
            <v>电脑,打印机</v>
          </cell>
          <cell r="E82" t="str">
            <v>科技发展部</v>
          </cell>
          <cell r="F82" t="str">
            <v>使用中</v>
          </cell>
          <cell r="G82" t="str">
            <v>投发部2602</v>
          </cell>
          <cell r="H82">
            <v>34326</v>
          </cell>
          <cell r="I82" t="str">
            <v>购入</v>
          </cell>
          <cell r="J82" t="str">
            <v>平均年限法</v>
          </cell>
          <cell r="K82" t="str">
            <v>60</v>
          </cell>
          <cell r="L82">
            <v>1200</v>
          </cell>
          <cell r="M82">
            <v>1200</v>
          </cell>
          <cell r="N82">
            <v>0</v>
          </cell>
          <cell r="O82">
            <v>0</v>
          </cell>
          <cell r="P82">
            <v>1200</v>
          </cell>
          <cell r="Q82">
            <v>60</v>
          </cell>
        </row>
        <row r="83">
          <cell r="A83" t="str">
            <v>JX523</v>
          </cell>
          <cell r="B83" t="str">
            <v>UPS</v>
          </cell>
          <cell r="C83" t="str">
            <v>山特500W</v>
          </cell>
          <cell r="D83" t="str">
            <v>电脑,打印机</v>
          </cell>
          <cell r="E83" t="str">
            <v>科技发展部</v>
          </cell>
          <cell r="F83" t="str">
            <v>使用中</v>
          </cell>
          <cell r="G83" t="str">
            <v>投发部2602</v>
          </cell>
          <cell r="H83">
            <v>34326</v>
          </cell>
          <cell r="I83" t="str">
            <v>购入</v>
          </cell>
          <cell r="J83" t="str">
            <v>平均年限法</v>
          </cell>
          <cell r="K83" t="str">
            <v>60</v>
          </cell>
          <cell r="L83">
            <v>1200</v>
          </cell>
          <cell r="M83">
            <v>1200</v>
          </cell>
          <cell r="N83">
            <v>0</v>
          </cell>
          <cell r="O83">
            <v>0</v>
          </cell>
          <cell r="P83">
            <v>1200</v>
          </cell>
          <cell r="Q83">
            <v>60</v>
          </cell>
        </row>
        <row r="84">
          <cell r="A84" t="str">
            <v>JX524</v>
          </cell>
          <cell r="B84" t="str">
            <v>UPS</v>
          </cell>
          <cell r="C84" t="str">
            <v>山特500W</v>
          </cell>
          <cell r="D84" t="str">
            <v>电脑,打印机</v>
          </cell>
          <cell r="E84" t="str">
            <v>科技发展部</v>
          </cell>
          <cell r="F84" t="str">
            <v>使用中</v>
          </cell>
          <cell r="G84" t="str">
            <v>投发部2602</v>
          </cell>
          <cell r="H84">
            <v>34326</v>
          </cell>
          <cell r="I84" t="str">
            <v>购入</v>
          </cell>
          <cell r="J84" t="str">
            <v>平均年限法</v>
          </cell>
          <cell r="K84" t="str">
            <v>60</v>
          </cell>
          <cell r="L84">
            <v>1200</v>
          </cell>
          <cell r="M84">
            <v>1200</v>
          </cell>
          <cell r="N84">
            <v>0</v>
          </cell>
          <cell r="O84">
            <v>0</v>
          </cell>
          <cell r="P84">
            <v>1200</v>
          </cell>
          <cell r="Q84">
            <v>60</v>
          </cell>
        </row>
        <row r="85">
          <cell r="A85" t="str">
            <v>JX525</v>
          </cell>
          <cell r="B85" t="str">
            <v>打印机</v>
          </cell>
          <cell r="C85" t="str">
            <v>LQ-1900K</v>
          </cell>
          <cell r="D85" t="str">
            <v>电脑,打印机</v>
          </cell>
          <cell r="E85" t="str">
            <v>科技发展部</v>
          </cell>
          <cell r="F85" t="str">
            <v>使用中</v>
          </cell>
          <cell r="G85" t="str">
            <v>投发部</v>
          </cell>
          <cell r="H85">
            <v>34693</v>
          </cell>
          <cell r="I85" t="str">
            <v>购入</v>
          </cell>
          <cell r="J85" t="str">
            <v>平均年限法</v>
          </cell>
          <cell r="K85" t="str">
            <v>60</v>
          </cell>
          <cell r="L85">
            <v>6000</v>
          </cell>
          <cell r="M85">
            <v>6000</v>
          </cell>
          <cell r="N85">
            <v>0</v>
          </cell>
          <cell r="O85">
            <v>0</v>
          </cell>
          <cell r="P85">
            <v>6000</v>
          </cell>
          <cell r="Q85">
            <v>60</v>
          </cell>
        </row>
        <row r="86">
          <cell r="A86" t="str">
            <v>JX526</v>
          </cell>
          <cell r="B86" t="str">
            <v>打印机</v>
          </cell>
          <cell r="C86" t="str">
            <v>LQ-1900K</v>
          </cell>
          <cell r="D86" t="str">
            <v>电脑,打印机</v>
          </cell>
          <cell r="E86" t="str">
            <v>科技发展部</v>
          </cell>
          <cell r="F86" t="str">
            <v>使用中</v>
          </cell>
          <cell r="G86" t="str">
            <v>投发部</v>
          </cell>
          <cell r="H86">
            <v>34693</v>
          </cell>
          <cell r="I86" t="str">
            <v>购入</v>
          </cell>
          <cell r="J86" t="str">
            <v>平均年限法</v>
          </cell>
          <cell r="K86" t="str">
            <v>60</v>
          </cell>
          <cell r="L86">
            <v>6000</v>
          </cell>
          <cell r="M86">
            <v>6000</v>
          </cell>
          <cell r="N86">
            <v>0</v>
          </cell>
          <cell r="O86">
            <v>0</v>
          </cell>
          <cell r="P86">
            <v>6000</v>
          </cell>
          <cell r="Q86">
            <v>60</v>
          </cell>
        </row>
        <row r="87">
          <cell r="A87" t="str">
            <v>JX527</v>
          </cell>
          <cell r="B87" t="str">
            <v>打印机</v>
          </cell>
          <cell r="C87" t="str">
            <v>LQ-1900K</v>
          </cell>
          <cell r="D87" t="str">
            <v>电脑,打印机</v>
          </cell>
          <cell r="E87" t="str">
            <v>科技发展部</v>
          </cell>
          <cell r="F87" t="str">
            <v>使用中</v>
          </cell>
          <cell r="G87" t="str">
            <v>审计室</v>
          </cell>
          <cell r="H87">
            <v>34693</v>
          </cell>
          <cell r="I87" t="str">
            <v>购入</v>
          </cell>
          <cell r="J87" t="str">
            <v>平均年限法</v>
          </cell>
          <cell r="K87" t="str">
            <v>60</v>
          </cell>
          <cell r="L87">
            <v>6000</v>
          </cell>
          <cell r="M87">
            <v>6000</v>
          </cell>
          <cell r="N87">
            <v>0</v>
          </cell>
          <cell r="O87">
            <v>0</v>
          </cell>
          <cell r="P87">
            <v>6000</v>
          </cell>
          <cell r="Q87">
            <v>60</v>
          </cell>
        </row>
        <row r="88">
          <cell r="A88" t="str">
            <v>JX528</v>
          </cell>
          <cell r="B88" t="str">
            <v>UPS</v>
          </cell>
          <cell r="C88" t="str">
            <v>山特500W</v>
          </cell>
          <cell r="D88" t="str">
            <v>电脑,打印机</v>
          </cell>
          <cell r="E88" t="str">
            <v>科技发展部</v>
          </cell>
          <cell r="F88" t="str">
            <v>使用中</v>
          </cell>
          <cell r="G88" t="str">
            <v>财务部2605</v>
          </cell>
          <cell r="H88">
            <v>34692</v>
          </cell>
          <cell r="I88" t="str">
            <v>购入</v>
          </cell>
          <cell r="J88" t="str">
            <v>平均年限法</v>
          </cell>
          <cell r="K88" t="str">
            <v>60</v>
          </cell>
          <cell r="L88">
            <v>1200</v>
          </cell>
          <cell r="M88">
            <v>1200</v>
          </cell>
          <cell r="N88">
            <v>0</v>
          </cell>
          <cell r="O88">
            <v>0</v>
          </cell>
          <cell r="P88">
            <v>1200</v>
          </cell>
          <cell r="Q88">
            <v>60</v>
          </cell>
        </row>
        <row r="89">
          <cell r="A89" t="str">
            <v>JX529</v>
          </cell>
          <cell r="B89" t="str">
            <v>打印机</v>
          </cell>
          <cell r="C89" t="str">
            <v>EPSON LQ-1900K</v>
          </cell>
          <cell r="D89" t="str">
            <v>电脑,打印机</v>
          </cell>
          <cell r="E89" t="str">
            <v>科技发展部</v>
          </cell>
          <cell r="F89" t="str">
            <v>使用中</v>
          </cell>
          <cell r="G89" t="str">
            <v>科技发展部2603</v>
          </cell>
          <cell r="H89">
            <v>34874</v>
          </cell>
          <cell r="I89" t="str">
            <v>购入</v>
          </cell>
          <cell r="J89" t="str">
            <v>平均年限法</v>
          </cell>
          <cell r="K89" t="str">
            <v>60</v>
          </cell>
          <cell r="L89">
            <v>6000</v>
          </cell>
          <cell r="M89">
            <v>6000</v>
          </cell>
          <cell r="N89">
            <v>0</v>
          </cell>
          <cell r="O89">
            <v>0</v>
          </cell>
          <cell r="P89">
            <v>6000</v>
          </cell>
          <cell r="Q89">
            <v>60</v>
          </cell>
        </row>
        <row r="90">
          <cell r="A90" t="str">
            <v>JX531</v>
          </cell>
          <cell r="B90" t="str">
            <v>UPS</v>
          </cell>
          <cell r="C90" t="str">
            <v>山特500W</v>
          </cell>
          <cell r="D90" t="str">
            <v>电脑,打印机</v>
          </cell>
          <cell r="E90" t="str">
            <v>科技发展部</v>
          </cell>
          <cell r="F90" t="str">
            <v>使用中</v>
          </cell>
          <cell r="G90" t="str">
            <v>科技发展部2603</v>
          </cell>
          <cell r="H90">
            <v>34326</v>
          </cell>
          <cell r="I90" t="str">
            <v>购入</v>
          </cell>
          <cell r="J90" t="str">
            <v>平均年限法</v>
          </cell>
          <cell r="K90" t="str">
            <v>60</v>
          </cell>
          <cell r="L90">
            <v>1200</v>
          </cell>
          <cell r="M90">
            <v>1200</v>
          </cell>
          <cell r="N90">
            <v>0</v>
          </cell>
          <cell r="O90">
            <v>0</v>
          </cell>
          <cell r="P90">
            <v>1200</v>
          </cell>
          <cell r="Q90">
            <v>60</v>
          </cell>
        </row>
        <row r="91">
          <cell r="A91" t="str">
            <v>JX533</v>
          </cell>
          <cell r="B91" t="str">
            <v>打印机</v>
          </cell>
          <cell r="C91" t="str">
            <v>LQ-1900K</v>
          </cell>
          <cell r="D91" t="str">
            <v>电脑,打印机</v>
          </cell>
          <cell r="E91" t="str">
            <v>科技发展部</v>
          </cell>
          <cell r="F91" t="str">
            <v>使用中</v>
          </cell>
          <cell r="G91" t="str">
            <v>打印室</v>
          </cell>
          <cell r="H91">
            <v>34693</v>
          </cell>
          <cell r="I91" t="str">
            <v>购入</v>
          </cell>
          <cell r="J91" t="str">
            <v>平均年限法</v>
          </cell>
          <cell r="K91" t="str">
            <v>60</v>
          </cell>
          <cell r="L91">
            <v>6000</v>
          </cell>
          <cell r="M91">
            <v>6000</v>
          </cell>
          <cell r="N91">
            <v>0</v>
          </cell>
          <cell r="O91">
            <v>0</v>
          </cell>
          <cell r="P91">
            <v>6000</v>
          </cell>
          <cell r="Q91">
            <v>60</v>
          </cell>
        </row>
        <row r="92">
          <cell r="A92" t="str">
            <v>JX534</v>
          </cell>
          <cell r="B92" t="str">
            <v>UPS</v>
          </cell>
          <cell r="C92" t="str">
            <v>山特1K</v>
          </cell>
          <cell r="D92" t="str">
            <v>电脑,打印机</v>
          </cell>
          <cell r="E92" t="str">
            <v>科技发展部</v>
          </cell>
          <cell r="F92" t="str">
            <v>使用中</v>
          </cell>
          <cell r="G92" t="str">
            <v>科技发展部2604</v>
          </cell>
          <cell r="H92">
            <v>34326</v>
          </cell>
          <cell r="I92" t="str">
            <v>购入</v>
          </cell>
          <cell r="J92" t="str">
            <v>平均年限法</v>
          </cell>
          <cell r="K92" t="str">
            <v>60</v>
          </cell>
          <cell r="L92">
            <v>7400</v>
          </cell>
          <cell r="M92">
            <v>7400</v>
          </cell>
          <cell r="N92">
            <v>0</v>
          </cell>
          <cell r="O92">
            <v>0</v>
          </cell>
          <cell r="P92">
            <v>7400</v>
          </cell>
          <cell r="Q92">
            <v>60</v>
          </cell>
        </row>
        <row r="93">
          <cell r="A93" t="str">
            <v>JX536</v>
          </cell>
          <cell r="B93" t="str">
            <v>电脑</v>
          </cell>
          <cell r="C93" t="str">
            <v>兼容586/150</v>
          </cell>
          <cell r="D93" t="str">
            <v>电脑,打印机</v>
          </cell>
          <cell r="E93" t="str">
            <v>科技发展部</v>
          </cell>
          <cell r="F93" t="str">
            <v>使用中</v>
          </cell>
          <cell r="G93" t="str">
            <v>科技发展部</v>
          </cell>
          <cell r="H93">
            <v>35422</v>
          </cell>
          <cell r="I93" t="str">
            <v>购入</v>
          </cell>
          <cell r="J93" t="str">
            <v>平均年限法</v>
          </cell>
          <cell r="K93" t="str">
            <v>60</v>
          </cell>
          <cell r="L93">
            <v>15700</v>
          </cell>
          <cell r="M93">
            <v>15700</v>
          </cell>
          <cell r="N93">
            <v>0</v>
          </cell>
          <cell r="O93">
            <v>0</v>
          </cell>
          <cell r="P93">
            <v>15700</v>
          </cell>
          <cell r="Q93">
            <v>60</v>
          </cell>
        </row>
        <row r="94">
          <cell r="A94" t="str">
            <v>JX539</v>
          </cell>
          <cell r="B94" t="str">
            <v>激光打印机</v>
          </cell>
          <cell r="C94" t="str">
            <v>惠普LP-4PUS</v>
          </cell>
          <cell r="D94" t="str">
            <v>电脑,打印机</v>
          </cell>
          <cell r="E94" t="str">
            <v>科技发展部</v>
          </cell>
          <cell r="F94" t="str">
            <v>使用中</v>
          </cell>
          <cell r="G94" t="str">
            <v>科技发展部</v>
          </cell>
          <cell r="H94">
            <v>35006</v>
          </cell>
          <cell r="I94" t="str">
            <v>购入</v>
          </cell>
          <cell r="J94" t="str">
            <v>平均年限法</v>
          </cell>
          <cell r="K94" t="str">
            <v>60</v>
          </cell>
          <cell r="L94">
            <v>13480</v>
          </cell>
          <cell r="M94">
            <v>13480</v>
          </cell>
          <cell r="N94">
            <v>0</v>
          </cell>
          <cell r="O94">
            <v>0</v>
          </cell>
          <cell r="P94">
            <v>13480</v>
          </cell>
          <cell r="Q94">
            <v>60</v>
          </cell>
        </row>
        <row r="95">
          <cell r="A95" t="str">
            <v>JX541</v>
          </cell>
          <cell r="B95" t="str">
            <v>电脑</v>
          </cell>
          <cell r="C95" t="str">
            <v>386DX/40</v>
          </cell>
          <cell r="D95" t="str">
            <v>电脑,打印机</v>
          </cell>
          <cell r="E95" t="str">
            <v>科技发展部</v>
          </cell>
          <cell r="F95" t="str">
            <v>使用中</v>
          </cell>
          <cell r="G95" t="str">
            <v>总经理室2701</v>
          </cell>
          <cell r="H95">
            <v>34326</v>
          </cell>
          <cell r="I95" t="str">
            <v>购入</v>
          </cell>
          <cell r="J95" t="str">
            <v>平均年限法</v>
          </cell>
          <cell r="K95" t="str">
            <v>60</v>
          </cell>
          <cell r="L95">
            <v>9650</v>
          </cell>
          <cell r="M95">
            <v>9650</v>
          </cell>
          <cell r="N95">
            <v>0</v>
          </cell>
          <cell r="O95">
            <v>0</v>
          </cell>
          <cell r="P95">
            <v>9650</v>
          </cell>
          <cell r="Q95">
            <v>60</v>
          </cell>
        </row>
        <row r="96">
          <cell r="A96" t="str">
            <v>JX542</v>
          </cell>
          <cell r="B96" t="str">
            <v>电脑</v>
          </cell>
          <cell r="C96" t="str">
            <v>兼容586/150</v>
          </cell>
          <cell r="D96" t="str">
            <v>电脑,打印机</v>
          </cell>
          <cell r="E96" t="str">
            <v>科技发展部</v>
          </cell>
          <cell r="F96" t="str">
            <v>使用中</v>
          </cell>
          <cell r="G96" t="str">
            <v>财务部2605</v>
          </cell>
          <cell r="H96">
            <v>34327</v>
          </cell>
          <cell r="I96" t="str">
            <v>购入</v>
          </cell>
          <cell r="J96" t="str">
            <v>平均年限法</v>
          </cell>
          <cell r="K96" t="str">
            <v>60</v>
          </cell>
          <cell r="L96">
            <v>9650</v>
          </cell>
          <cell r="M96">
            <v>9650</v>
          </cell>
          <cell r="N96">
            <v>0</v>
          </cell>
          <cell r="O96">
            <v>0</v>
          </cell>
          <cell r="P96">
            <v>9650</v>
          </cell>
          <cell r="Q96">
            <v>60</v>
          </cell>
        </row>
        <row r="97">
          <cell r="A97" t="str">
            <v>JX543</v>
          </cell>
          <cell r="B97" t="str">
            <v>电脑</v>
          </cell>
          <cell r="C97" t="str">
            <v>HP586VL3/75</v>
          </cell>
          <cell r="D97" t="str">
            <v>电脑,打印机</v>
          </cell>
          <cell r="E97" t="str">
            <v>科技发展部</v>
          </cell>
          <cell r="F97" t="str">
            <v>使用中</v>
          </cell>
          <cell r="G97" t="str">
            <v>办公室</v>
          </cell>
          <cell r="H97">
            <v>34965</v>
          </cell>
          <cell r="I97" t="str">
            <v>购入</v>
          </cell>
          <cell r="J97" t="str">
            <v>平均年限法</v>
          </cell>
          <cell r="K97" t="str">
            <v>60</v>
          </cell>
          <cell r="L97">
            <v>22700</v>
          </cell>
          <cell r="M97">
            <v>22700</v>
          </cell>
          <cell r="N97">
            <v>0</v>
          </cell>
          <cell r="O97">
            <v>0</v>
          </cell>
          <cell r="P97">
            <v>22700</v>
          </cell>
          <cell r="Q97">
            <v>60</v>
          </cell>
        </row>
        <row r="98">
          <cell r="A98" t="str">
            <v>JX544</v>
          </cell>
          <cell r="B98" t="str">
            <v>电脑</v>
          </cell>
          <cell r="C98" t="str">
            <v>HP586/200服务器</v>
          </cell>
          <cell r="D98" t="str">
            <v>电脑,打印机</v>
          </cell>
          <cell r="E98" t="str">
            <v>科技发展部</v>
          </cell>
          <cell r="F98" t="str">
            <v>使用中</v>
          </cell>
          <cell r="G98" t="str">
            <v>财务部</v>
          </cell>
          <cell r="H98">
            <v>35696</v>
          </cell>
          <cell r="I98" t="str">
            <v>购入</v>
          </cell>
          <cell r="J98" t="str">
            <v>平均年限法</v>
          </cell>
          <cell r="K98" t="str">
            <v>60</v>
          </cell>
          <cell r="L98">
            <v>22000</v>
          </cell>
          <cell r="M98">
            <v>22000</v>
          </cell>
          <cell r="N98">
            <v>0</v>
          </cell>
          <cell r="O98">
            <v>0</v>
          </cell>
          <cell r="P98">
            <v>22000</v>
          </cell>
          <cell r="Q98">
            <v>60</v>
          </cell>
        </row>
        <row r="99">
          <cell r="A99" t="str">
            <v>JX545</v>
          </cell>
          <cell r="B99" t="str">
            <v>打印机</v>
          </cell>
          <cell r="C99" t="str">
            <v>EPSON1600K</v>
          </cell>
          <cell r="D99" t="str">
            <v>电脑,打印机</v>
          </cell>
          <cell r="E99" t="str">
            <v>科技发展部</v>
          </cell>
          <cell r="F99" t="str">
            <v>使用中</v>
          </cell>
          <cell r="G99" t="str">
            <v>财务部</v>
          </cell>
          <cell r="H99">
            <v>34326</v>
          </cell>
          <cell r="I99" t="str">
            <v>购入</v>
          </cell>
          <cell r="J99" t="str">
            <v>平均年限法</v>
          </cell>
          <cell r="K99" t="str">
            <v>60</v>
          </cell>
          <cell r="L99">
            <v>4900</v>
          </cell>
          <cell r="M99">
            <v>4900</v>
          </cell>
          <cell r="N99">
            <v>0</v>
          </cell>
          <cell r="O99">
            <v>0</v>
          </cell>
          <cell r="P99">
            <v>4900</v>
          </cell>
          <cell r="Q99">
            <v>60</v>
          </cell>
        </row>
        <row r="100">
          <cell r="A100" t="str">
            <v>JX546</v>
          </cell>
          <cell r="B100" t="str">
            <v>打印机</v>
          </cell>
          <cell r="C100" t="str">
            <v>EPSON1600K</v>
          </cell>
          <cell r="D100" t="str">
            <v>电脑,打印机</v>
          </cell>
          <cell r="E100" t="str">
            <v>科技发展部</v>
          </cell>
          <cell r="F100" t="str">
            <v>使用中</v>
          </cell>
          <cell r="G100" t="str">
            <v>财务部</v>
          </cell>
          <cell r="H100">
            <v>34326</v>
          </cell>
          <cell r="I100" t="str">
            <v>购入</v>
          </cell>
          <cell r="J100" t="str">
            <v>平均年限法</v>
          </cell>
          <cell r="K100" t="str">
            <v>60</v>
          </cell>
          <cell r="L100">
            <v>4900</v>
          </cell>
          <cell r="M100">
            <v>4900</v>
          </cell>
          <cell r="N100">
            <v>0</v>
          </cell>
          <cell r="O100">
            <v>0</v>
          </cell>
          <cell r="P100">
            <v>4900</v>
          </cell>
          <cell r="Q100">
            <v>60</v>
          </cell>
        </row>
        <row r="101">
          <cell r="A101" t="str">
            <v>JX548</v>
          </cell>
          <cell r="B101" t="str">
            <v>激光打印机</v>
          </cell>
          <cell r="C101" t="str">
            <v>HP6P</v>
          </cell>
          <cell r="D101" t="str">
            <v>电脑,打印机</v>
          </cell>
          <cell r="E101" t="str">
            <v>科技发展部</v>
          </cell>
          <cell r="F101" t="str">
            <v>使用中</v>
          </cell>
          <cell r="G101" t="str">
            <v>财务部</v>
          </cell>
          <cell r="H101">
            <v>35696</v>
          </cell>
          <cell r="I101" t="str">
            <v>购入</v>
          </cell>
          <cell r="J101" t="str">
            <v>平均年限法</v>
          </cell>
          <cell r="K101" t="str">
            <v>60</v>
          </cell>
          <cell r="L101">
            <v>7700</v>
          </cell>
          <cell r="M101">
            <v>7700</v>
          </cell>
          <cell r="N101">
            <v>0</v>
          </cell>
          <cell r="O101">
            <v>0</v>
          </cell>
          <cell r="P101">
            <v>7700</v>
          </cell>
          <cell r="Q101">
            <v>60</v>
          </cell>
        </row>
        <row r="102">
          <cell r="A102" t="str">
            <v>JX549</v>
          </cell>
          <cell r="B102" t="str">
            <v>UPS</v>
          </cell>
          <cell r="C102" t="str">
            <v>山特500W</v>
          </cell>
          <cell r="D102" t="str">
            <v>电脑,打印机</v>
          </cell>
          <cell r="E102" t="str">
            <v>科技发展部</v>
          </cell>
          <cell r="F102" t="str">
            <v>使用中</v>
          </cell>
          <cell r="G102" t="str">
            <v>财务部2605</v>
          </cell>
          <cell r="H102">
            <v>34691</v>
          </cell>
          <cell r="I102" t="str">
            <v>购入</v>
          </cell>
          <cell r="J102" t="str">
            <v>平均年限法</v>
          </cell>
          <cell r="K102" t="str">
            <v>60</v>
          </cell>
          <cell r="L102">
            <v>1200</v>
          </cell>
          <cell r="M102">
            <v>1200</v>
          </cell>
          <cell r="N102">
            <v>0</v>
          </cell>
          <cell r="O102">
            <v>0</v>
          </cell>
          <cell r="P102">
            <v>1200</v>
          </cell>
          <cell r="Q102">
            <v>60</v>
          </cell>
        </row>
        <row r="103">
          <cell r="A103" t="str">
            <v>JX550</v>
          </cell>
          <cell r="B103" t="str">
            <v>UPS</v>
          </cell>
          <cell r="C103" t="str">
            <v>山特500W</v>
          </cell>
          <cell r="D103" t="str">
            <v>电脑,打印机</v>
          </cell>
          <cell r="E103" t="str">
            <v>科技发展部</v>
          </cell>
          <cell r="F103" t="str">
            <v>使用中</v>
          </cell>
          <cell r="G103" t="str">
            <v>财务部2605</v>
          </cell>
          <cell r="H103">
            <v>34691</v>
          </cell>
          <cell r="I103" t="str">
            <v>购入</v>
          </cell>
          <cell r="J103" t="str">
            <v>平均年限法</v>
          </cell>
          <cell r="K103" t="str">
            <v>60</v>
          </cell>
          <cell r="L103">
            <v>1200</v>
          </cell>
          <cell r="M103">
            <v>1200</v>
          </cell>
          <cell r="N103">
            <v>0</v>
          </cell>
          <cell r="O103">
            <v>0</v>
          </cell>
          <cell r="P103">
            <v>1200</v>
          </cell>
          <cell r="Q103">
            <v>60</v>
          </cell>
        </row>
        <row r="104">
          <cell r="A104" t="str">
            <v>JX554</v>
          </cell>
          <cell r="B104" t="str">
            <v>电脑</v>
          </cell>
          <cell r="C104" t="str">
            <v>COMPAQ486/50</v>
          </cell>
          <cell r="D104" t="str">
            <v>电脑,打印机</v>
          </cell>
          <cell r="E104" t="str">
            <v>科技发展部</v>
          </cell>
          <cell r="F104" t="str">
            <v>使用中</v>
          </cell>
          <cell r="G104" t="str">
            <v>资产经营部</v>
          </cell>
          <cell r="H104">
            <v>34326</v>
          </cell>
          <cell r="I104" t="str">
            <v>购入</v>
          </cell>
          <cell r="J104" t="str">
            <v>平均年限法</v>
          </cell>
          <cell r="K104" t="str">
            <v>60</v>
          </cell>
          <cell r="L104">
            <v>46000</v>
          </cell>
          <cell r="M104">
            <v>46000</v>
          </cell>
          <cell r="N104">
            <v>0</v>
          </cell>
          <cell r="O104">
            <v>0</v>
          </cell>
          <cell r="P104">
            <v>46000</v>
          </cell>
          <cell r="Q104">
            <v>60</v>
          </cell>
        </row>
        <row r="105">
          <cell r="A105" t="str">
            <v>JX555</v>
          </cell>
          <cell r="B105" t="str">
            <v>电脑</v>
          </cell>
          <cell r="C105" t="str">
            <v>COMPAQ486/50</v>
          </cell>
          <cell r="D105" t="str">
            <v>电脑,打印机</v>
          </cell>
          <cell r="E105" t="str">
            <v>科技发展部</v>
          </cell>
          <cell r="F105" t="str">
            <v>使用中</v>
          </cell>
          <cell r="G105" t="str">
            <v>监事长室</v>
          </cell>
          <cell r="H105">
            <v>34691</v>
          </cell>
          <cell r="I105" t="str">
            <v>购入</v>
          </cell>
          <cell r="J105" t="str">
            <v>平均年限法</v>
          </cell>
          <cell r="K105" t="str">
            <v>60</v>
          </cell>
          <cell r="L105">
            <v>18600</v>
          </cell>
          <cell r="M105">
            <v>18600</v>
          </cell>
          <cell r="N105">
            <v>0</v>
          </cell>
          <cell r="O105">
            <v>0</v>
          </cell>
          <cell r="P105">
            <v>18600</v>
          </cell>
          <cell r="Q105">
            <v>60</v>
          </cell>
        </row>
        <row r="106">
          <cell r="A106" t="str">
            <v>JX556</v>
          </cell>
          <cell r="B106" t="str">
            <v>UPS</v>
          </cell>
          <cell r="C106" t="str">
            <v>山特500W</v>
          </cell>
          <cell r="D106" t="str">
            <v>电脑,打印机</v>
          </cell>
          <cell r="E106" t="str">
            <v>资产经营部</v>
          </cell>
          <cell r="F106" t="str">
            <v>使用中</v>
          </cell>
          <cell r="G106" t="str">
            <v>资产经营部</v>
          </cell>
          <cell r="H106">
            <v>35025</v>
          </cell>
          <cell r="I106" t="str">
            <v>购入</v>
          </cell>
          <cell r="J106" t="str">
            <v>平均年限法</v>
          </cell>
          <cell r="K106" t="str">
            <v>60</v>
          </cell>
          <cell r="L106">
            <v>900</v>
          </cell>
          <cell r="M106">
            <v>900</v>
          </cell>
          <cell r="N106">
            <v>0</v>
          </cell>
          <cell r="O106">
            <v>0</v>
          </cell>
          <cell r="P106">
            <v>900</v>
          </cell>
          <cell r="Q106">
            <v>60</v>
          </cell>
        </row>
        <row r="107">
          <cell r="A107" t="str">
            <v>JX557</v>
          </cell>
          <cell r="B107" t="str">
            <v>UPS</v>
          </cell>
          <cell r="C107" t="str">
            <v>山特500W</v>
          </cell>
          <cell r="D107" t="str">
            <v>电脑,打印机</v>
          </cell>
          <cell r="E107" t="str">
            <v>资产经营部</v>
          </cell>
          <cell r="F107" t="str">
            <v>使用中</v>
          </cell>
          <cell r="G107" t="str">
            <v>资产经营部</v>
          </cell>
          <cell r="H107">
            <v>33199</v>
          </cell>
          <cell r="I107" t="str">
            <v>购入</v>
          </cell>
          <cell r="J107" t="str">
            <v>平均年限法</v>
          </cell>
          <cell r="K107" t="str">
            <v>60</v>
          </cell>
          <cell r="L107">
            <v>1225</v>
          </cell>
          <cell r="M107">
            <v>1225</v>
          </cell>
          <cell r="N107">
            <v>0</v>
          </cell>
          <cell r="O107">
            <v>0</v>
          </cell>
          <cell r="P107">
            <v>1225</v>
          </cell>
          <cell r="Q107">
            <v>60</v>
          </cell>
        </row>
        <row r="108">
          <cell r="A108" t="str">
            <v>JX558</v>
          </cell>
          <cell r="B108" t="str">
            <v>打印机</v>
          </cell>
          <cell r="C108" t="str">
            <v>LQ-1900K</v>
          </cell>
          <cell r="D108" t="str">
            <v>电脑,打印机</v>
          </cell>
          <cell r="E108" t="str">
            <v>科技发展部</v>
          </cell>
          <cell r="F108" t="str">
            <v>使用中</v>
          </cell>
          <cell r="G108" t="str">
            <v>资产经营部</v>
          </cell>
          <cell r="H108">
            <v>34693</v>
          </cell>
          <cell r="I108" t="str">
            <v>购入</v>
          </cell>
          <cell r="J108" t="str">
            <v>平均年限法</v>
          </cell>
          <cell r="K108" t="str">
            <v>60</v>
          </cell>
          <cell r="L108">
            <v>6000</v>
          </cell>
          <cell r="M108">
            <v>6000</v>
          </cell>
          <cell r="N108">
            <v>0</v>
          </cell>
          <cell r="O108">
            <v>0</v>
          </cell>
          <cell r="P108">
            <v>6000</v>
          </cell>
          <cell r="Q108">
            <v>60</v>
          </cell>
        </row>
        <row r="109">
          <cell r="A109" t="str">
            <v>JX559</v>
          </cell>
          <cell r="B109" t="str">
            <v>粉碎机</v>
          </cell>
          <cell r="D109" t="str">
            <v>机电类</v>
          </cell>
          <cell r="E109" t="str">
            <v>办公室</v>
          </cell>
          <cell r="F109" t="str">
            <v>使用中</v>
          </cell>
          <cell r="H109">
            <v>34283</v>
          </cell>
          <cell r="I109" t="str">
            <v>购入</v>
          </cell>
          <cell r="J109" t="str">
            <v>平均年限法</v>
          </cell>
          <cell r="K109" t="str">
            <v>60</v>
          </cell>
          <cell r="L109">
            <v>2900</v>
          </cell>
          <cell r="M109">
            <v>2859.68</v>
          </cell>
          <cell r="N109">
            <v>40.32</v>
          </cell>
          <cell r="O109">
            <v>87</v>
          </cell>
          <cell r="P109">
            <v>2900</v>
          </cell>
          <cell r="Q109">
            <v>60</v>
          </cell>
        </row>
        <row r="110">
          <cell r="A110" t="str">
            <v>JX560</v>
          </cell>
          <cell r="B110" t="str">
            <v>传真机</v>
          </cell>
          <cell r="D110" t="str">
            <v>机电类</v>
          </cell>
          <cell r="E110" t="str">
            <v>办公室</v>
          </cell>
          <cell r="F110" t="str">
            <v>使用中</v>
          </cell>
          <cell r="H110">
            <v>34344</v>
          </cell>
          <cell r="I110" t="str">
            <v>购入</v>
          </cell>
          <cell r="J110" t="str">
            <v>平均年限法</v>
          </cell>
          <cell r="K110" t="str">
            <v>60</v>
          </cell>
          <cell r="L110">
            <v>15800</v>
          </cell>
          <cell r="M110">
            <v>15326</v>
          </cell>
          <cell r="N110">
            <v>474</v>
          </cell>
          <cell r="O110">
            <v>474</v>
          </cell>
          <cell r="P110">
            <v>15800</v>
          </cell>
          <cell r="Q110">
            <v>60</v>
          </cell>
        </row>
        <row r="111">
          <cell r="A111" t="str">
            <v>JX561</v>
          </cell>
          <cell r="B111" t="str">
            <v>复印机</v>
          </cell>
          <cell r="C111" t="str">
            <v>施乐5421</v>
          </cell>
          <cell r="D111" t="str">
            <v>机电类</v>
          </cell>
          <cell r="E111" t="str">
            <v>办公室</v>
          </cell>
          <cell r="F111" t="str">
            <v>使用中</v>
          </cell>
          <cell r="G111" t="str">
            <v>打印室</v>
          </cell>
          <cell r="H111">
            <v>34921</v>
          </cell>
          <cell r="I111" t="str">
            <v>购入</v>
          </cell>
          <cell r="J111" t="str">
            <v>平均年限法</v>
          </cell>
          <cell r="K111" t="str">
            <v>60</v>
          </cell>
          <cell r="L111">
            <v>28400</v>
          </cell>
          <cell r="M111">
            <v>23874.89</v>
          </cell>
          <cell r="N111">
            <v>4525.1099999999997</v>
          </cell>
          <cell r="O111">
            <v>852</v>
          </cell>
          <cell r="P111">
            <v>28400</v>
          </cell>
          <cell r="Q111">
            <v>60</v>
          </cell>
        </row>
        <row r="112">
          <cell r="A112" t="str">
            <v>JX562</v>
          </cell>
          <cell r="B112" t="str">
            <v>复印机</v>
          </cell>
          <cell r="C112" t="str">
            <v>施乐</v>
          </cell>
          <cell r="D112" t="str">
            <v>机电类</v>
          </cell>
          <cell r="E112" t="str">
            <v>办公室</v>
          </cell>
          <cell r="F112" t="str">
            <v>使用中</v>
          </cell>
          <cell r="G112" t="str">
            <v>打印室</v>
          </cell>
          <cell r="H112">
            <v>33983</v>
          </cell>
          <cell r="I112" t="str">
            <v>购入</v>
          </cell>
          <cell r="J112" t="str">
            <v>平均年限法</v>
          </cell>
          <cell r="K112" t="str">
            <v>60</v>
          </cell>
          <cell r="L112">
            <v>26880</v>
          </cell>
          <cell r="M112">
            <v>26073.599999999999</v>
          </cell>
          <cell r="N112">
            <v>806.4</v>
          </cell>
          <cell r="O112">
            <v>806.4</v>
          </cell>
          <cell r="P112">
            <v>26880</v>
          </cell>
          <cell r="Q112">
            <v>60</v>
          </cell>
        </row>
        <row r="113">
          <cell r="A113" t="str">
            <v>JX563</v>
          </cell>
          <cell r="B113" t="str">
            <v>油印机</v>
          </cell>
          <cell r="D113" t="str">
            <v>机电类</v>
          </cell>
          <cell r="E113" t="str">
            <v>办公室</v>
          </cell>
          <cell r="F113" t="str">
            <v>使用中</v>
          </cell>
          <cell r="G113" t="str">
            <v>打印室</v>
          </cell>
          <cell r="H113">
            <v>34313</v>
          </cell>
          <cell r="I113" t="str">
            <v>购入</v>
          </cell>
          <cell r="J113" t="str">
            <v>平均年限法</v>
          </cell>
          <cell r="K113" t="str">
            <v>60</v>
          </cell>
          <cell r="L113">
            <v>15500</v>
          </cell>
          <cell r="M113">
            <v>15035</v>
          </cell>
          <cell r="N113">
            <v>465</v>
          </cell>
          <cell r="O113">
            <v>465</v>
          </cell>
          <cell r="P113">
            <v>15500</v>
          </cell>
          <cell r="Q113">
            <v>60</v>
          </cell>
        </row>
        <row r="114">
          <cell r="A114" t="str">
            <v>JX564</v>
          </cell>
          <cell r="B114" t="str">
            <v>打字机</v>
          </cell>
          <cell r="C114" t="str">
            <v>MS-2401</v>
          </cell>
          <cell r="D114" t="str">
            <v>机电类</v>
          </cell>
          <cell r="E114" t="str">
            <v>办公室</v>
          </cell>
          <cell r="F114" t="str">
            <v>使用中</v>
          </cell>
          <cell r="G114" t="str">
            <v>打印室</v>
          </cell>
          <cell r="H114">
            <v>34313</v>
          </cell>
          <cell r="I114" t="str">
            <v>购入</v>
          </cell>
          <cell r="J114" t="str">
            <v>平均年限法</v>
          </cell>
          <cell r="K114" t="str">
            <v>60</v>
          </cell>
          <cell r="L114">
            <v>18919.95</v>
          </cell>
          <cell r="M114">
            <v>18919.95</v>
          </cell>
          <cell r="N114">
            <v>0</v>
          </cell>
          <cell r="O114">
            <v>0</v>
          </cell>
          <cell r="P114">
            <v>18919.95</v>
          </cell>
          <cell r="Q114">
            <v>60</v>
          </cell>
        </row>
        <row r="115">
          <cell r="A115" t="str">
            <v>JX565</v>
          </cell>
          <cell r="B115" t="str">
            <v>打字机</v>
          </cell>
          <cell r="D115" t="str">
            <v>机电类</v>
          </cell>
          <cell r="E115" t="str">
            <v>科技发展部</v>
          </cell>
          <cell r="F115" t="str">
            <v>使用中</v>
          </cell>
          <cell r="G115" t="str">
            <v>打印室</v>
          </cell>
          <cell r="H115">
            <v>34753</v>
          </cell>
          <cell r="I115" t="str">
            <v>购入</v>
          </cell>
          <cell r="J115" t="str">
            <v>平均年限法</v>
          </cell>
          <cell r="K115" t="str">
            <v>60</v>
          </cell>
          <cell r="L115">
            <v>15750</v>
          </cell>
          <cell r="M115">
            <v>15750</v>
          </cell>
          <cell r="N115">
            <v>0</v>
          </cell>
          <cell r="O115">
            <v>0</v>
          </cell>
          <cell r="P115">
            <v>15750</v>
          </cell>
          <cell r="Q115">
            <v>60</v>
          </cell>
        </row>
        <row r="116">
          <cell r="A116" t="str">
            <v>JX566</v>
          </cell>
          <cell r="B116" t="str">
            <v>点钞机</v>
          </cell>
          <cell r="D116" t="str">
            <v>机电类</v>
          </cell>
          <cell r="E116" t="str">
            <v>财务部</v>
          </cell>
          <cell r="F116" t="str">
            <v>使用中</v>
          </cell>
          <cell r="H116">
            <v>34587</v>
          </cell>
          <cell r="I116" t="str">
            <v>购入</v>
          </cell>
          <cell r="J116" t="str">
            <v>平均年限法</v>
          </cell>
          <cell r="K116" t="str">
            <v>60</v>
          </cell>
          <cell r="L116">
            <v>2380</v>
          </cell>
          <cell r="M116">
            <v>2308.6</v>
          </cell>
          <cell r="N116">
            <v>71.400000000000006</v>
          </cell>
          <cell r="O116">
            <v>71.400000000000006</v>
          </cell>
          <cell r="P116">
            <v>2380</v>
          </cell>
          <cell r="Q116">
            <v>60</v>
          </cell>
        </row>
        <row r="117">
          <cell r="A117" t="str">
            <v>JX567</v>
          </cell>
          <cell r="B117" t="str">
            <v>点钞机</v>
          </cell>
          <cell r="D117" t="str">
            <v>经租机电</v>
          </cell>
          <cell r="E117" t="str">
            <v>中企物业管理有限公司</v>
          </cell>
          <cell r="F117" t="str">
            <v>使用中</v>
          </cell>
          <cell r="G117" t="str">
            <v>长乐路</v>
          </cell>
          <cell r="H117">
            <v>36521</v>
          </cell>
          <cell r="I117" t="str">
            <v>其他增加</v>
          </cell>
          <cell r="J117" t="str">
            <v>平均年限法</v>
          </cell>
          <cell r="K117" t="str">
            <v>29</v>
          </cell>
          <cell r="L117">
            <v>745.14</v>
          </cell>
          <cell r="M117">
            <v>24.92</v>
          </cell>
          <cell r="N117">
            <v>720.22</v>
          </cell>
          <cell r="O117">
            <v>22.35</v>
          </cell>
          <cell r="P117">
            <v>745.14</v>
          </cell>
          <cell r="Q117">
            <v>29</v>
          </cell>
        </row>
        <row r="118">
          <cell r="A118" t="str">
            <v>JX569</v>
          </cell>
          <cell r="B118" t="str">
            <v>式跳线架</v>
          </cell>
          <cell r="C118" t="str">
            <v>AMP快接</v>
          </cell>
          <cell r="D118" t="str">
            <v>电脑,打印机</v>
          </cell>
          <cell r="E118" t="str">
            <v>科技发展部</v>
          </cell>
          <cell r="F118" t="str">
            <v>使用中</v>
          </cell>
          <cell r="G118" t="str">
            <v>科技发展部</v>
          </cell>
          <cell r="H118">
            <v>35757</v>
          </cell>
          <cell r="I118" t="str">
            <v>购入</v>
          </cell>
          <cell r="J118" t="str">
            <v>平均年限法</v>
          </cell>
          <cell r="K118" t="str">
            <v>60</v>
          </cell>
          <cell r="L118">
            <v>3750</v>
          </cell>
          <cell r="M118">
            <v>3750</v>
          </cell>
          <cell r="N118">
            <v>0</v>
          </cell>
          <cell r="O118">
            <v>0</v>
          </cell>
          <cell r="P118">
            <v>3750</v>
          </cell>
          <cell r="Q118">
            <v>60</v>
          </cell>
        </row>
        <row r="119">
          <cell r="A119" t="str">
            <v>JX570</v>
          </cell>
          <cell r="B119" t="str">
            <v>电脑</v>
          </cell>
          <cell r="C119" t="str">
            <v>COMPAQ P6/200MHZ</v>
          </cell>
          <cell r="D119" t="str">
            <v>电脑,打印机</v>
          </cell>
          <cell r="E119" t="str">
            <v>科技发展部</v>
          </cell>
          <cell r="F119" t="str">
            <v>使用中</v>
          </cell>
          <cell r="G119" t="str">
            <v>科技发展部2603</v>
          </cell>
          <cell r="H119">
            <v>35757</v>
          </cell>
          <cell r="I119" t="str">
            <v>购入</v>
          </cell>
          <cell r="J119" t="str">
            <v>平均年限法</v>
          </cell>
          <cell r="K119" t="str">
            <v>60</v>
          </cell>
          <cell r="L119">
            <v>44000</v>
          </cell>
          <cell r="M119">
            <v>44000</v>
          </cell>
          <cell r="N119">
            <v>0</v>
          </cell>
          <cell r="O119">
            <v>0</v>
          </cell>
          <cell r="P119">
            <v>44000</v>
          </cell>
          <cell r="Q119">
            <v>60</v>
          </cell>
        </row>
        <row r="120">
          <cell r="A120" t="str">
            <v>JX571</v>
          </cell>
          <cell r="B120" t="str">
            <v>HUB集线器</v>
          </cell>
          <cell r="C120" t="str">
            <v>AUTON</v>
          </cell>
          <cell r="D120" t="str">
            <v>电脑,打印机</v>
          </cell>
          <cell r="E120" t="str">
            <v>科技发展部</v>
          </cell>
          <cell r="F120" t="str">
            <v>使用中</v>
          </cell>
          <cell r="G120" t="str">
            <v>2604</v>
          </cell>
          <cell r="H120">
            <v>35757</v>
          </cell>
          <cell r="I120" t="str">
            <v>购入</v>
          </cell>
          <cell r="J120" t="str">
            <v>平均年限法</v>
          </cell>
          <cell r="K120" t="str">
            <v>60</v>
          </cell>
          <cell r="L120">
            <v>1900</v>
          </cell>
          <cell r="M120">
            <v>1900</v>
          </cell>
          <cell r="N120">
            <v>0</v>
          </cell>
          <cell r="O120">
            <v>0</v>
          </cell>
          <cell r="P120">
            <v>1900</v>
          </cell>
          <cell r="Q120">
            <v>60</v>
          </cell>
        </row>
        <row r="121">
          <cell r="A121" t="str">
            <v>JX572</v>
          </cell>
          <cell r="B121" t="str">
            <v>HUB集线器</v>
          </cell>
          <cell r="C121" t="str">
            <v>AUTON</v>
          </cell>
          <cell r="D121" t="str">
            <v>电脑,打印机</v>
          </cell>
          <cell r="E121" t="str">
            <v>科技发展部</v>
          </cell>
          <cell r="F121" t="str">
            <v>使用中</v>
          </cell>
          <cell r="G121" t="str">
            <v>2604</v>
          </cell>
          <cell r="H121">
            <v>35757</v>
          </cell>
          <cell r="I121" t="str">
            <v>购入</v>
          </cell>
          <cell r="J121" t="str">
            <v>平均年限法</v>
          </cell>
          <cell r="K121" t="str">
            <v>60</v>
          </cell>
          <cell r="L121">
            <v>1900</v>
          </cell>
          <cell r="M121">
            <v>1900</v>
          </cell>
          <cell r="N121">
            <v>0</v>
          </cell>
          <cell r="O121">
            <v>0</v>
          </cell>
          <cell r="P121">
            <v>1900</v>
          </cell>
          <cell r="Q121">
            <v>60</v>
          </cell>
        </row>
        <row r="122">
          <cell r="A122" t="str">
            <v>JX573</v>
          </cell>
          <cell r="B122" t="str">
            <v>电脑</v>
          </cell>
          <cell r="C122" t="str">
            <v>586MMX166</v>
          </cell>
          <cell r="D122" t="str">
            <v>电脑,打印机</v>
          </cell>
          <cell r="E122" t="str">
            <v>科技发展部</v>
          </cell>
          <cell r="F122" t="str">
            <v>使用中</v>
          </cell>
          <cell r="G122" t="str">
            <v>财务部</v>
          </cell>
          <cell r="H122">
            <v>35818</v>
          </cell>
          <cell r="I122" t="str">
            <v>购入</v>
          </cell>
          <cell r="J122" t="str">
            <v>平均年限法</v>
          </cell>
          <cell r="K122" t="str">
            <v>60</v>
          </cell>
          <cell r="L122">
            <v>8500</v>
          </cell>
          <cell r="M122">
            <v>8500</v>
          </cell>
          <cell r="N122">
            <v>0</v>
          </cell>
          <cell r="O122">
            <v>0</v>
          </cell>
          <cell r="P122">
            <v>8500</v>
          </cell>
          <cell r="Q122">
            <v>60</v>
          </cell>
        </row>
        <row r="123">
          <cell r="A123" t="str">
            <v>JX574</v>
          </cell>
          <cell r="B123" t="str">
            <v>电脑</v>
          </cell>
          <cell r="C123" t="str">
            <v>586MMX166</v>
          </cell>
          <cell r="D123" t="str">
            <v>电脑,打印机</v>
          </cell>
          <cell r="E123" t="str">
            <v>科技发展部</v>
          </cell>
          <cell r="F123" t="str">
            <v>使用中</v>
          </cell>
          <cell r="G123" t="str">
            <v>财务部</v>
          </cell>
          <cell r="H123">
            <v>35849</v>
          </cell>
          <cell r="I123" t="str">
            <v>购入</v>
          </cell>
          <cell r="J123" t="str">
            <v>平均年限法</v>
          </cell>
          <cell r="K123" t="str">
            <v>60</v>
          </cell>
          <cell r="L123">
            <v>8600</v>
          </cell>
          <cell r="M123">
            <v>8600</v>
          </cell>
          <cell r="N123">
            <v>0</v>
          </cell>
          <cell r="O123">
            <v>0</v>
          </cell>
          <cell r="P123">
            <v>8600</v>
          </cell>
          <cell r="Q123">
            <v>60</v>
          </cell>
        </row>
        <row r="124">
          <cell r="A124" t="str">
            <v>JX575</v>
          </cell>
          <cell r="B124" t="str">
            <v>UPS</v>
          </cell>
          <cell r="C124" t="str">
            <v>山特500W</v>
          </cell>
          <cell r="D124" t="str">
            <v>电脑,打印机</v>
          </cell>
          <cell r="E124" t="str">
            <v>科技发展部</v>
          </cell>
          <cell r="F124" t="str">
            <v>使用中</v>
          </cell>
          <cell r="G124" t="str">
            <v>总经理室2701</v>
          </cell>
          <cell r="H124">
            <v>35938</v>
          </cell>
          <cell r="I124" t="str">
            <v>购入</v>
          </cell>
          <cell r="J124" t="str">
            <v>平均年限法</v>
          </cell>
          <cell r="K124" t="str">
            <v>60</v>
          </cell>
          <cell r="L124">
            <v>750</v>
          </cell>
          <cell r="M124">
            <v>750</v>
          </cell>
          <cell r="N124">
            <v>0</v>
          </cell>
          <cell r="O124">
            <v>0</v>
          </cell>
          <cell r="P124">
            <v>750</v>
          </cell>
          <cell r="Q124">
            <v>60</v>
          </cell>
        </row>
        <row r="125">
          <cell r="A125" t="str">
            <v>JX576</v>
          </cell>
          <cell r="B125" t="str">
            <v>UPS</v>
          </cell>
          <cell r="C125" t="str">
            <v>山特500W</v>
          </cell>
          <cell r="D125" t="str">
            <v>电脑,打印机</v>
          </cell>
          <cell r="E125" t="str">
            <v>科技发展部</v>
          </cell>
          <cell r="F125" t="str">
            <v>使用中</v>
          </cell>
          <cell r="G125" t="str">
            <v>财务部2605</v>
          </cell>
          <cell r="H125">
            <v>35938</v>
          </cell>
          <cell r="I125" t="str">
            <v>购入</v>
          </cell>
          <cell r="J125" t="str">
            <v>平均年限法</v>
          </cell>
          <cell r="K125" t="str">
            <v>60</v>
          </cell>
          <cell r="L125">
            <v>750</v>
          </cell>
          <cell r="M125">
            <v>750</v>
          </cell>
          <cell r="N125">
            <v>0</v>
          </cell>
          <cell r="O125">
            <v>0</v>
          </cell>
          <cell r="P125">
            <v>750</v>
          </cell>
          <cell r="Q125">
            <v>60</v>
          </cell>
        </row>
        <row r="126">
          <cell r="A126" t="str">
            <v>JX577</v>
          </cell>
          <cell r="B126" t="str">
            <v>电脑</v>
          </cell>
          <cell r="C126" t="str">
            <v>奔腾233MHZ</v>
          </cell>
          <cell r="D126" t="str">
            <v>电脑,打印机</v>
          </cell>
          <cell r="E126" t="str">
            <v>科技发展部</v>
          </cell>
          <cell r="F126" t="str">
            <v>使用中</v>
          </cell>
          <cell r="G126" t="str">
            <v>2706</v>
          </cell>
          <cell r="H126">
            <v>35938</v>
          </cell>
          <cell r="I126" t="str">
            <v>购入</v>
          </cell>
          <cell r="J126" t="str">
            <v>平均年限法</v>
          </cell>
          <cell r="K126" t="str">
            <v>60</v>
          </cell>
          <cell r="L126">
            <v>7900</v>
          </cell>
          <cell r="M126">
            <v>7900</v>
          </cell>
          <cell r="N126">
            <v>0</v>
          </cell>
          <cell r="O126">
            <v>0</v>
          </cell>
          <cell r="P126">
            <v>7900</v>
          </cell>
          <cell r="Q126">
            <v>60</v>
          </cell>
        </row>
        <row r="127">
          <cell r="A127" t="str">
            <v>JX578</v>
          </cell>
          <cell r="B127" t="str">
            <v>电脑</v>
          </cell>
          <cell r="C127" t="str">
            <v>奔腾233MHZ</v>
          </cell>
          <cell r="D127" t="str">
            <v>电脑,打印机</v>
          </cell>
          <cell r="E127" t="str">
            <v>科技发展部</v>
          </cell>
          <cell r="F127" t="str">
            <v>使用中</v>
          </cell>
          <cell r="G127" t="str">
            <v>财务部</v>
          </cell>
          <cell r="H127">
            <v>35938</v>
          </cell>
          <cell r="I127" t="str">
            <v>购入</v>
          </cell>
          <cell r="J127" t="str">
            <v>平均年限法</v>
          </cell>
          <cell r="K127" t="str">
            <v>60</v>
          </cell>
          <cell r="L127">
            <v>7900</v>
          </cell>
          <cell r="M127">
            <v>7900</v>
          </cell>
          <cell r="N127">
            <v>0</v>
          </cell>
          <cell r="O127">
            <v>0</v>
          </cell>
          <cell r="P127">
            <v>7900</v>
          </cell>
          <cell r="Q127">
            <v>60</v>
          </cell>
        </row>
        <row r="128">
          <cell r="A128" t="str">
            <v>JX579</v>
          </cell>
          <cell r="B128" t="str">
            <v>电脑</v>
          </cell>
          <cell r="C128" t="str">
            <v>奔腾233MHZ</v>
          </cell>
          <cell r="D128" t="str">
            <v>电脑,打印机</v>
          </cell>
          <cell r="E128" t="str">
            <v>科技发展部</v>
          </cell>
          <cell r="F128" t="str">
            <v>使用中</v>
          </cell>
          <cell r="G128" t="str">
            <v>董事长室</v>
          </cell>
          <cell r="H128">
            <v>35938</v>
          </cell>
          <cell r="I128" t="str">
            <v>购入</v>
          </cell>
          <cell r="J128" t="str">
            <v>平均年限法</v>
          </cell>
          <cell r="K128" t="str">
            <v>60</v>
          </cell>
          <cell r="L128">
            <v>7900</v>
          </cell>
          <cell r="M128">
            <v>7900</v>
          </cell>
          <cell r="N128">
            <v>0</v>
          </cell>
          <cell r="O128">
            <v>0</v>
          </cell>
          <cell r="P128">
            <v>7900</v>
          </cell>
          <cell r="Q128">
            <v>60</v>
          </cell>
        </row>
        <row r="129">
          <cell r="A129" t="str">
            <v>JX580</v>
          </cell>
          <cell r="B129" t="str">
            <v>电脑</v>
          </cell>
          <cell r="C129" t="str">
            <v>奔腾586-233</v>
          </cell>
          <cell r="D129" t="str">
            <v>电脑,打印机</v>
          </cell>
          <cell r="E129" t="str">
            <v>科技发展部</v>
          </cell>
          <cell r="F129" t="str">
            <v>使用中</v>
          </cell>
          <cell r="G129" t="str">
            <v>投发部</v>
          </cell>
          <cell r="H129">
            <v>35949</v>
          </cell>
          <cell r="I129" t="str">
            <v>购入</v>
          </cell>
          <cell r="J129" t="str">
            <v>平均年限法</v>
          </cell>
          <cell r="K129" t="str">
            <v>60</v>
          </cell>
          <cell r="L129">
            <v>7800</v>
          </cell>
          <cell r="M129">
            <v>7800</v>
          </cell>
          <cell r="N129">
            <v>0</v>
          </cell>
          <cell r="O129">
            <v>0</v>
          </cell>
          <cell r="P129">
            <v>7800</v>
          </cell>
          <cell r="Q129">
            <v>60</v>
          </cell>
        </row>
        <row r="130">
          <cell r="A130" t="str">
            <v>JX581</v>
          </cell>
          <cell r="B130" t="str">
            <v>电脑</v>
          </cell>
          <cell r="C130" t="str">
            <v>奔腾Ⅱ266</v>
          </cell>
          <cell r="D130" t="str">
            <v>电脑,打印机</v>
          </cell>
          <cell r="E130" t="str">
            <v>科技发展部</v>
          </cell>
          <cell r="F130" t="str">
            <v>使用中</v>
          </cell>
          <cell r="G130" t="str">
            <v>2604</v>
          </cell>
          <cell r="H130">
            <v>35949</v>
          </cell>
          <cell r="I130" t="str">
            <v>购入</v>
          </cell>
          <cell r="J130" t="str">
            <v>平均年限法</v>
          </cell>
          <cell r="K130" t="str">
            <v>60</v>
          </cell>
          <cell r="L130">
            <v>11900</v>
          </cell>
          <cell r="M130">
            <v>11900</v>
          </cell>
          <cell r="N130">
            <v>0</v>
          </cell>
          <cell r="O130">
            <v>0</v>
          </cell>
          <cell r="P130">
            <v>11900</v>
          </cell>
          <cell r="Q130">
            <v>60</v>
          </cell>
        </row>
        <row r="131">
          <cell r="A131" t="str">
            <v>JX582</v>
          </cell>
          <cell r="B131" t="str">
            <v>电脑</v>
          </cell>
          <cell r="C131" t="str">
            <v>奔腾300</v>
          </cell>
          <cell r="D131" t="str">
            <v>电脑,打印机</v>
          </cell>
          <cell r="E131" t="str">
            <v>科技发展部</v>
          </cell>
          <cell r="F131" t="str">
            <v>使用中</v>
          </cell>
          <cell r="G131" t="str">
            <v>财务部</v>
          </cell>
          <cell r="H131">
            <v>36071</v>
          </cell>
          <cell r="I131" t="str">
            <v>购入</v>
          </cell>
          <cell r="J131" t="str">
            <v>平均年限法</v>
          </cell>
          <cell r="K131" t="str">
            <v>60</v>
          </cell>
          <cell r="L131">
            <v>8850</v>
          </cell>
          <cell r="M131">
            <v>8850</v>
          </cell>
          <cell r="N131">
            <v>0</v>
          </cell>
          <cell r="O131">
            <v>0</v>
          </cell>
          <cell r="P131">
            <v>8850</v>
          </cell>
          <cell r="Q131">
            <v>60</v>
          </cell>
        </row>
        <row r="132">
          <cell r="A132" t="str">
            <v>JX583</v>
          </cell>
          <cell r="B132" t="str">
            <v>打印机</v>
          </cell>
          <cell r="C132" t="str">
            <v>LQ-1900K</v>
          </cell>
          <cell r="D132" t="str">
            <v>电脑,打印机</v>
          </cell>
          <cell r="E132" t="str">
            <v>科技发展部</v>
          </cell>
          <cell r="F132" t="str">
            <v>使用中</v>
          </cell>
          <cell r="G132" t="str">
            <v>人事部</v>
          </cell>
          <cell r="H132">
            <v>34693</v>
          </cell>
          <cell r="I132" t="str">
            <v>购入</v>
          </cell>
          <cell r="J132" t="str">
            <v>平均年限法</v>
          </cell>
          <cell r="K132" t="str">
            <v>60</v>
          </cell>
          <cell r="L132">
            <v>6000</v>
          </cell>
          <cell r="M132">
            <v>6000</v>
          </cell>
          <cell r="N132">
            <v>0</v>
          </cell>
          <cell r="O132">
            <v>0</v>
          </cell>
          <cell r="P132">
            <v>6000</v>
          </cell>
          <cell r="Q132">
            <v>60</v>
          </cell>
        </row>
        <row r="133">
          <cell r="A133" t="str">
            <v>JX585</v>
          </cell>
          <cell r="B133" t="str">
            <v>UPS</v>
          </cell>
          <cell r="C133" t="str">
            <v>山特500W</v>
          </cell>
          <cell r="D133" t="str">
            <v>电脑,打印机</v>
          </cell>
          <cell r="E133" t="str">
            <v>科技发展部</v>
          </cell>
          <cell r="F133" t="str">
            <v>使用中</v>
          </cell>
          <cell r="G133" t="str">
            <v>审计部</v>
          </cell>
          <cell r="H133">
            <v>34326</v>
          </cell>
          <cell r="I133" t="str">
            <v>购入</v>
          </cell>
          <cell r="J133" t="str">
            <v>平均年限法</v>
          </cell>
          <cell r="K133" t="str">
            <v>60</v>
          </cell>
          <cell r="L133">
            <v>1200</v>
          </cell>
          <cell r="M133">
            <v>1200</v>
          </cell>
          <cell r="N133">
            <v>0</v>
          </cell>
          <cell r="O133">
            <v>0</v>
          </cell>
          <cell r="P133">
            <v>1200</v>
          </cell>
          <cell r="Q133">
            <v>60</v>
          </cell>
        </row>
        <row r="134">
          <cell r="A134" t="str">
            <v>JX586</v>
          </cell>
          <cell r="B134" t="str">
            <v>图象视频转换卡</v>
          </cell>
          <cell r="C134" t="str">
            <v>AVERMEDIA</v>
          </cell>
          <cell r="D134" t="str">
            <v>电脑,打印机</v>
          </cell>
          <cell r="E134" t="str">
            <v>科技发展部</v>
          </cell>
          <cell r="F134" t="str">
            <v>使用中</v>
          </cell>
          <cell r="G134" t="str">
            <v>2604</v>
          </cell>
          <cell r="H134">
            <v>36154</v>
          </cell>
          <cell r="I134" t="str">
            <v>购入</v>
          </cell>
          <cell r="J134" t="str">
            <v>平均年限法</v>
          </cell>
          <cell r="K134" t="str">
            <v>60</v>
          </cell>
          <cell r="L134">
            <v>6400</v>
          </cell>
          <cell r="M134">
            <v>6400</v>
          </cell>
          <cell r="N134">
            <v>0</v>
          </cell>
          <cell r="O134">
            <v>0</v>
          </cell>
          <cell r="P134">
            <v>0</v>
          </cell>
          <cell r="Q134">
            <v>58</v>
          </cell>
        </row>
        <row r="135">
          <cell r="A135" t="str">
            <v>JX587</v>
          </cell>
          <cell r="B135" t="str">
            <v>外置刻录机</v>
          </cell>
          <cell r="C135" t="str">
            <v>CRX100E-B</v>
          </cell>
          <cell r="D135" t="str">
            <v>电脑,打印机</v>
          </cell>
          <cell r="E135" t="str">
            <v>科技发展部</v>
          </cell>
          <cell r="F135" t="str">
            <v>使用中</v>
          </cell>
          <cell r="G135" t="str">
            <v>2604</v>
          </cell>
          <cell r="H135">
            <v>36154</v>
          </cell>
          <cell r="I135" t="str">
            <v>购入</v>
          </cell>
          <cell r="J135" t="str">
            <v>平均年限法</v>
          </cell>
          <cell r="K135" t="str">
            <v>60</v>
          </cell>
          <cell r="L135">
            <v>4900</v>
          </cell>
          <cell r="M135">
            <v>4900</v>
          </cell>
          <cell r="N135">
            <v>0</v>
          </cell>
          <cell r="O135">
            <v>0</v>
          </cell>
          <cell r="P135">
            <v>0</v>
          </cell>
          <cell r="Q135">
            <v>58</v>
          </cell>
        </row>
        <row r="136">
          <cell r="A136" t="str">
            <v>JX588-1</v>
          </cell>
          <cell r="B136" t="str">
            <v>电脑</v>
          </cell>
          <cell r="C136" t="str">
            <v>COMPAQ PⅡ300</v>
          </cell>
          <cell r="D136" t="str">
            <v>电脑,打印机</v>
          </cell>
          <cell r="E136" t="str">
            <v>科技发展部</v>
          </cell>
          <cell r="F136" t="str">
            <v>使用中</v>
          </cell>
          <cell r="G136" t="str">
            <v>科发部</v>
          </cell>
          <cell r="H136">
            <v>36123</v>
          </cell>
          <cell r="I136" t="str">
            <v>购入</v>
          </cell>
          <cell r="J136" t="str">
            <v>平均年限法</v>
          </cell>
          <cell r="K136" t="str">
            <v>60</v>
          </cell>
          <cell r="L136">
            <v>33500</v>
          </cell>
          <cell r="M136">
            <v>33500</v>
          </cell>
          <cell r="N136">
            <v>0</v>
          </cell>
          <cell r="O136">
            <v>0</v>
          </cell>
          <cell r="P136">
            <v>33500</v>
          </cell>
          <cell r="Q136">
            <v>60</v>
          </cell>
        </row>
        <row r="137">
          <cell r="A137" t="str">
            <v>JX589</v>
          </cell>
          <cell r="B137" t="str">
            <v>电脑</v>
          </cell>
          <cell r="C137" t="str">
            <v>USR服务器</v>
          </cell>
          <cell r="D137" t="str">
            <v>电脑,打印机</v>
          </cell>
          <cell r="E137" t="str">
            <v>科技发展部</v>
          </cell>
          <cell r="F137" t="str">
            <v>使用中</v>
          </cell>
          <cell r="G137" t="str">
            <v>科发部</v>
          </cell>
          <cell r="H137">
            <v>36123</v>
          </cell>
          <cell r="I137" t="str">
            <v>购入</v>
          </cell>
          <cell r="J137" t="str">
            <v>平均年限法</v>
          </cell>
          <cell r="K137" t="str">
            <v>60</v>
          </cell>
          <cell r="L137">
            <v>23000</v>
          </cell>
          <cell r="M137">
            <v>23000</v>
          </cell>
          <cell r="N137">
            <v>0</v>
          </cell>
          <cell r="O137">
            <v>0</v>
          </cell>
          <cell r="P137">
            <v>23000</v>
          </cell>
          <cell r="Q137">
            <v>60</v>
          </cell>
        </row>
        <row r="138">
          <cell r="A138" t="str">
            <v>JX590</v>
          </cell>
          <cell r="B138" t="str">
            <v>电脑</v>
          </cell>
          <cell r="C138" t="str">
            <v>奔腾PE333</v>
          </cell>
          <cell r="D138" t="str">
            <v>电脑,打印机</v>
          </cell>
          <cell r="E138" t="str">
            <v>科技发展部</v>
          </cell>
          <cell r="F138" t="str">
            <v>使用中</v>
          </cell>
          <cell r="G138" t="str">
            <v>2604</v>
          </cell>
          <cell r="H138">
            <v>36262</v>
          </cell>
          <cell r="I138" t="str">
            <v>购入</v>
          </cell>
          <cell r="J138" t="str">
            <v>平均年限法</v>
          </cell>
          <cell r="K138" t="str">
            <v>1</v>
          </cell>
          <cell r="L138">
            <v>8500</v>
          </cell>
          <cell r="M138">
            <v>8500</v>
          </cell>
          <cell r="N138">
            <v>0</v>
          </cell>
          <cell r="O138">
            <v>0</v>
          </cell>
          <cell r="P138">
            <v>8500</v>
          </cell>
          <cell r="Q138">
            <v>1</v>
          </cell>
        </row>
        <row r="139">
          <cell r="A139" t="str">
            <v>JX591</v>
          </cell>
          <cell r="B139" t="str">
            <v>电脑</v>
          </cell>
          <cell r="C139" t="str">
            <v>Acer SISTE 笔记本</v>
          </cell>
          <cell r="D139" t="str">
            <v>电脑,打印机</v>
          </cell>
          <cell r="E139" t="str">
            <v>经理室</v>
          </cell>
          <cell r="F139" t="str">
            <v>使用中</v>
          </cell>
          <cell r="G139" t="str">
            <v>2707</v>
          </cell>
          <cell r="H139">
            <v>36298</v>
          </cell>
          <cell r="I139" t="str">
            <v>购入</v>
          </cell>
          <cell r="J139" t="str">
            <v>平均年限法</v>
          </cell>
          <cell r="K139" t="str">
            <v>1</v>
          </cell>
          <cell r="L139">
            <v>22640</v>
          </cell>
          <cell r="M139">
            <v>22640</v>
          </cell>
          <cell r="N139">
            <v>0</v>
          </cell>
          <cell r="O139">
            <v>0</v>
          </cell>
          <cell r="P139">
            <v>22640</v>
          </cell>
          <cell r="Q139">
            <v>1</v>
          </cell>
        </row>
        <row r="140">
          <cell r="A140" t="str">
            <v>JX592</v>
          </cell>
          <cell r="B140" t="str">
            <v>电脑</v>
          </cell>
          <cell r="C140" t="str">
            <v>PⅡ300</v>
          </cell>
          <cell r="D140" t="str">
            <v>电脑,打印机</v>
          </cell>
          <cell r="E140" t="str">
            <v>财务部</v>
          </cell>
          <cell r="F140" t="str">
            <v>使用中</v>
          </cell>
          <cell r="G140" t="str">
            <v>2605</v>
          </cell>
          <cell r="H140">
            <v>36300</v>
          </cell>
          <cell r="I140" t="str">
            <v>购入</v>
          </cell>
          <cell r="J140" t="str">
            <v>平均年限法</v>
          </cell>
          <cell r="K140" t="str">
            <v>1</v>
          </cell>
          <cell r="L140">
            <v>7800</v>
          </cell>
          <cell r="M140">
            <v>7800</v>
          </cell>
          <cell r="N140">
            <v>0</v>
          </cell>
          <cell r="O140">
            <v>0</v>
          </cell>
          <cell r="P140">
            <v>7800</v>
          </cell>
          <cell r="Q140">
            <v>1</v>
          </cell>
        </row>
        <row r="141">
          <cell r="A141" t="str">
            <v>JX593</v>
          </cell>
          <cell r="B141" t="str">
            <v>电脑</v>
          </cell>
          <cell r="C141" t="str">
            <v>奔腾PE333</v>
          </cell>
          <cell r="D141" t="str">
            <v>电脑,打印机</v>
          </cell>
          <cell r="E141" t="str">
            <v>办公室</v>
          </cell>
          <cell r="F141" t="str">
            <v>使用中</v>
          </cell>
          <cell r="G141" t="str">
            <v>2702</v>
          </cell>
          <cell r="H141">
            <v>36262</v>
          </cell>
          <cell r="I141" t="str">
            <v>购入</v>
          </cell>
          <cell r="J141" t="str">
            <v>平均年限法</v>
          </cell>
          <cell r="K141" t="str">
            <v>1</v>
          </cell>
          <cell r="L141">
            <v>8500</v>
          </cell>
          <cell r="M141">
            <v>8500</v>
          </cell>
          <cell r="N141">
            <v>0</v>
          </cell>
          <cell r="O141">
            <v>0</v>
          </cell>
          <cell r="P141">
            <v>8500</v>
          </cell>
          <cell r="Q141">
            <v>1</v>
          </cell>
        </row>
        <row r="142">
          <cell r="A142" t="str">
            <v>JX594</v>
          </cell>
          <cell r="B142" t="str">
            <v>电脑</v>
          </cell>
          <cell r="C142" t="str">
            <v>PⅡ400</v>
          </cell>
          <cell r="D142" t="str">
            <v>电脑,打印机</v>
          </cell>
          <cell r="E142" t="str">
            <v>经理室</v>
          </cell>
          <cell r="F142" t="str">
            <v>使用中</v>
          </cell>
          <cell r="G142" t="str">
            <v>2708</v>
          </cell>
          <cell r="H142">
            <v>36333</v>
          </cell>
          <cell r="I142" t="str">
            <v>购入</v>
          </cell>
          <cell r="J142" t="str">
            <v>平均年限法</v>
          </cell>
          <cell r="K142" t="str">
            <v>1</v>
          </cell>
          <cell r="L142">
            <v>8000</v>
          </cell>
          <cell r="M142">
            <v>8000</v>
          </cell>
          <cell r="N142">
            <v>0</v>
          </cell>
          <cell r="O142">
            <v>0</v>
          </cell>
          <cell r="P142">
            <v>8000</v>
          </cell>
          <cell r="Q142">
            <v>1</v>
          </cell>
        </row>
        <row r="143">
          <cell r="A143" t="str">
            <v>JX595</v>
          </cell>
          <cell r="B143" t="str">
            <v>电脑</v>
          </cell>
          <cell r="C143" t="str">
            <v>PⅡ400</v>
          </cell>
          <cell r="D143" t="str">
            <v>电脑,打印机</v>
          </cell>
          <cell r="E143" t="str">
            <v>总公司</v>
          </cell>
          <cell r="F143" t="str">
            <v>使用中</v>
          </cell>
          <cell r="G143" t="str">
            <v>2705</v>
          </cell>
          <cell r="H143">
            <v>36358</v>
          </cell>
          <cell r="I143" t="str">
            <v>购入</v>
          </cell>
          <cell r="J143" t="str">
            <v>平均年限法</v>
          </cell>
          <cell r="K143" t="str">
            <v>1</v>
          </cell>
          <cell r="L143">
            <v>8000</v>
          </cell>
          <cell r="M143">
            <v>8000</v>
          </cell>
          <cell r="N143">
            <v>0</v>
          </cell>
          <cell r="O143">
            <v>0</v>
          </cell>
          <cell r="P143">
            <v>8000</v>
          </cell>
          <cell r="Q143">
            <v>1</v>
          </cell>
        </row>
        <row r="144">
          <cell r="A144" t="str">
            <v>JX596</v>
          </cell>
          <cell r="B144" t="str">
            <v>电子商务通</v>
          </cell>
          <cell r="D144" t="str">
            <v>电脑,打印机</v>
          </cell>
          <cell r="E144" t="str">
            <v>办公室</v>
          </cell>
          <cell r="F144" t="str">
            <v>使用中</v>
          </cell>
          <cell r="H144">
            <v>36377</v>
          </cell>
          <cell r="I144" t="str">
            <v>购入</v>
          </cell>
          <cell r="J144" t="str">
            <v>平均年限法</v>
          </cell>
          <cell r="K144" t="str">
            <v>1</v>
          </cell>
          <cell r="L144">
            <v>2180</v>
          </cell>
          <cell r="M144">
            <v>2180</v>
          </cell>
          <cell r="N144">
            <v>0</v>
          </cell>
          <cell r="O144">
            <v>0</v>
          </cell>
          <cell r="P144">
            <v>2180</v>
          </cell>
          <cell r="Q144">
            <v>1</v>
          </cell>
        </row>
        <row r="145">
          <cell r="A145" t="str">
            <v>JX597</v>
          </cell>
          <cell r="B145" t="str">
            <v>电脑</v>
          </cell>
          <cell r="C145" t="str">
            <v>奔腾Ⅳ450</v>
          </cell>
          <cell r="D145" t="str">
            <v>电脑,打印机</v>
          </cell>
          <cell r="E145" t="str">
            <v>投资发展部</v>
          </cell>
          <cell r="F145" t="str">
            <v>使用中</v>
          </cell>
          <cell r="G145" t="str">
            <v>2602</v>
          </cell>
          <cell r="H145">
            <v>36451</v>
          </cell>
          <cell r="I145" t="str">
            <v>购入</v>
          </cell>
          <cell r="J145" t="str">
            <v>平均年限法</v>
          </cell>
          <cell r="K145" t="str">
            <v>1</v>
          </cell>
          <cell r="L145">
            <v>9200</v>
          </cell>
          <cell r="M145">
            <v>9200</v>
          </cell>
          <cell r="N145">
            <v>0</v>
          </cell>
          <cell r="O145">
            <v>0</v>
          </cell>
          <cell r="P145">
            <v>9200</v>
          </cell>
          <cell r="Q145">
            <v>1</v>
          </cell>
        </row>
        <row r="146">
          <cell r="A146" t="str">
            <v>JX598</v>
          </cell>
          <cell r="B146" t="str">
            <v>电脑</v>
          </cell>
          <cell r="C146" t="str">
            <v>PⅢ450</v>
          </cell>
          <cell r="D146" t="str">
            <v>电脑,打印机</v>
          </cell>
          <cell r="E146" t="str">
            <v>总公司</v>
          </cell>
          <cell r="F146" t="str">
            <v>使用中</v>
          </cell>
          <cell r="G146" t="str">
            <v>2603</v>
          </cell>
          <cell r="H146">
            <v>36473</v>
          </cell>
          <cell r="I146" t="str">
            <v>购入</v>
          </cell>
          <cell r="J146" t="str">
            <v>平均年限法</v>
          </cell>
          <cell r="K146" t="str">
            <v>1</v>
          </cell>
          <cell r="L146">
            <v>9200</v>
          </cell>
          <cell r="M146">
            <v>9200</v>
          </cell>
          <cell r="N146">
            <v>0</v>
          </cell>
          <cell r="O146">
            <v>0</v>
          </cell>
          <cell r="P146">
            <v>9200</v>
          </cell>
          <cell r="Q146">
            <v>1</v>
          </cell>
        </row>
        <row r="147">
          <cell r="A147" t="str">
            <v>JX599</v>
          </cell>
          <cell r="B147" t="str">
            <v>音响</v>
          </cell>
          <cell r="C147" t="str">
            <v>见附属设备</v>
          </cell>
          <cell r="D147" t="str">
            <v>经租机电</v>
          </cell>
          <cell r="E147" t="str">
            <v>总公司</v>
          </cell>
          <cell r="F147" t="str">
            <v>使用中</v>
          </cell>
          <cell r="G147" t="str">
            <v>706</v>
          </cell>
          <cell r="H147">
            <v>36489</v>
          </cell>
          <cell r="I147" t="str">
            <v>购入</v>
          </cell>
          <cell r="J147" t="str">
            <v>平均年限法</v>
          </cell>
          <cell r="K147" t="str">
            <v>60</v>
          </cell>
          <cell r="L147">
            <v>85000</v>
          </cell>
          <cell r="M147">
            <v>1374.17</v>
          </cell>
          <cell r="N147">
            <v>83625.83</v>
          </cell>
          <cell r="O147">
            <v>2550</v>
          </cell>
          <cell r="P147">
            <v>85000</v>
          </cell>
          <cell r="Q147">
            <v>60</v>
          </cell>
        </row>
        <row r="148">
          <cell r="A148" t="str">
            <v>JX600</v>
          </cell>
          <cell r="B148" t="str">
            <v>电脑</v>
          </cell>
          <cell r="C148" t="str">
            <v>Acer 332CT</v>
          </cell>
          <cell r="D148" t="str">
            <v>电脑,打印机</v>
          </cell>
          <cell r="E148" t="str">
            <v>总公司</v>
          </cell>
          <cell r="F148" t="str">
            <v>使用中</v>
          </cell>
          <cell r="G148" t="str">
            <v>孙勇</v>
          </cell>
          <cell r="H148">
            <v>36494</v>
          </cell>
          <cell r="I148" t="str">
            <v>购入</v>
          </cell>
          <cell r="J148" t="str">
            <v>平均年限法</v>
          </cell>
          <cell r="K148" t="str">
            <v>1</v>
          </cell>
          <cell r="L148">
            <v>22800</v>
          </cell>
          <cell r="M148">
            <v>22800</v>
          </cell>
          <cell r="N148">
            <v>0</v>
          </cell>
          <cell r="O148">
            <v>0</v>
          </cell>
          <cell r="P148">
            <v>22800</v>
          </cell>
          <cell r="Q148">
            <v>60</v>
          </cell>
        </row>
        <row r="149">
          <cell r="A149" t="str">
            <v>JX601</v>
          </cell>
          <cell r="B149" t="str">
            <v>电脑</v>
          </cell>
          <cell r="C149" t="str">
            <v>Compag PL3000服务器</v>
          </cell>
          <cell r="D149" t="str">
            <v>电脑,打印机</v>
          </cell>
          <cell r="E149" t="str">
            <v>总公司</v>
          </cell>
          <cell r="F149" t="str">
            <v>使用中</v>
          </cell>
          <cell r="G149" t="str">
            <v>2604</v>
          </cell>
          <cell r="H149">
            <v>36504</v>
          </cell>
          <cell r="I149" t="str">
            <v>购入</v>
          </cell>
          <cell r="J149" t="str">
            <v>平均年限法</v>
          </cell>
          <cell r="K149" t="str">
            <v>1</v>
          </cell>
          <cell r="L149">
            <v>43080</v>
          </cell>
          <cell r="M149">
            <v>0</v>
          </cell>
          <cell r="N149">
            <v>43080</v>
          </cell>
          <cell r="O149">
            <v>0</v>
          </cell>
          <cell r="P149">
            <v>43080</v>
          </cell>
          <cell r="Q149">
            <v>60</v>
          </cell>
        </row>
        <row r="150">
          <cell r="A150" t="str">
            <v>JX602</v>
          </cell>
          <cell r="B150" t="str">
            <v>电脑</v>
          </cell>
          <cell r="C150" t="str">
            <v>康柏1926</v>
          </cell>
          <cell r="D150" t="str">
            <v>电脑,打印机</v>
          </cell>
          <cell r="E150" t="str">
            <v>总公司</v>
          </cell>
          <cell r="F150" t="str">
            <v>使用中</v>
          </cell>
          <cell r="G150" t="str">
            <v>张慧娟</v>
          </cell>
          <cell r="H150">
            <v>36524</v>
          </cell>
          <cell r="I150" t="str">
            <v>购入</v>
          </cell>
          <cell r="J150" t="str">
            <v>平均年限法</v>
          </cell>
          <cell r="K150" t="str">
            <v>1</v>
          </cell>
          <cell r="L150">
            <v>25600</v>
          </cell>
          <cell r="M150">
            <v>0</v>
          </cell>
          <cell r="N150">
            <v>25600</v>
          </cell>
          <cell r="O150">
            <v>0</v>
          </cell>
          <cell r="P150">
            <v>25600</v>
          </cell>
          <cell r="Q150">
            <v>60</v>
          </cell>
        </row>
        <row r="151">
          <cell r="A151" t="str">
            <v>JX701</v>
          </cell>
          <cell r="B151" t="str">
            <v>打印机</v>
          </cell>
          <cell r="C151" t="str">
            <v>EPSON LQ-1900K</v>
          </cell>
          <cell r="D151" t="str">
            <v>电脑,打印机</v>
          </cell>
          <cell r="E151" t="str">
            <v>科技发展部</v>
          </cell>
          <cell r="F151" t="str">
            <v>使用中</v>
          </cell>
          <cell r="G151" t="str">
            <v>物业</v>
          </cell>
          <cell r="H151">
            <v>34996</v>
          </cell>
          <cell r="I151" t="str">
            <v>购入</v>
          </cell>
          <cell r="J151" t="str">
            <v>平均年限法</v>
          </cell>
          <cell r="K151" t="str">
            <v>60</v>
          </cell>
          <cell r="L151">
            <v>5200</v>
          </cell>
          <cell r="M151">
            <v>5200</v>
          </cell>
          <cell r="N151">
            <v>0</v>
          </cell>
          <cell r="O151">
            <v>0</v>
          </cell>
          <cell r="P151">
            <v>5200</v>
          </cell>
          <cell r="Q151">
            <v>60</v>
          </cell>
        </row>
        <row r="152">
          <cell r="A152" t="str">
            <v>JX702</v>
          </cell>
          <cell r="B152" t="str">
            <v>电脑</v>
          </cell>
          <cell r="C152" t="str">
            <v>COMPAQ5/75</v>
          </cell>
          <cell r="D152" t="str">
            <v>电脑,打印机</v>
          </cell>
          <cell r="E152" t="str">
            <v>科技发展部</v>
          </cell>
          <cell r="F152" t="str">
            <v>使用中</v>
          </cell>
          <cell r="G152" t="str">
            <v>企华(中企大厦)</v>
          </cell>
          <cell r="H152">
            <v>35027</v>
          </cell>
          <cell r="I152" t="str">
            <v>购入</v>
          </cell>
          <cell r="J152" t="str">
            <v>平均年限法</v>
          </cell>
          <cell r="K152" t="str">
            <v>60</v>
          </cell>
          <cell r="L152">
            <v>19400</v>
          </cell>
          <cell r="M152">
            <v>19400</v>
          </cell>
          <cell r="N152">
            <v>0</v>
          </cell>
          <cell r="O152">
            <v>0</v>
          </cell>
          <cell r="P152">
            <v>19400</v>
          </cell>
          <cell r="Q152">
            <v>60</v>
          </cell>
        </row>
        <row r="153">
          <cell r="A153" t="str">
            <v>JX703</v>
          </cell>
          <cell r="B153" t="str">
            <v>UPS</v>
          </cell>
          <cell r="C153" t="str">
            <v>山特500W</v>
          </cell>
          <cell r="D153" t="str">
            <v>电脑,打印机</v>
          </cell>
          <cell r="E153" t="str">
            <v>科技发展部</v>
          </cell>
          <cell r="F153" t="str">
            <v>使用中</v>
          </cell>
          <cell r="G153" t="str">
            <v>物业</v>
          </cell>
          <cell r="H153">
            <v>32928</v>
          </cell>
          <cell r="I153" t="str">
            <v>购入</v>
          </cell>
          <cell r="J153" t="str">
            <v>平均年限法</v>
          </cell>
          <cell r="K153" t="str">
            <v>60</v>
          </cell>
          <cell r="L153">
            <v>1225</v>
          </cell>
          <cell r="M153">
            <v>1225</v>
          </cell>
          <cell r="N153">
            <v>0</v>
          </cell>
          <cell r="O153">
            <v>0</v>
          </cell>
          <cell r="P153">
            <v>1225</v>
          </cell>
          <cell r="Q153">
            <v>60</v>
          </cell>
        </row>
        <row r="154">
          <cell r="A154" t="str">
            <v>JX704</v>
          </cell>
          <cell r="B154" t="str">
            <v>扫描仪</v>
          </cell>
          <cell r="D154" t="str">
            <v>电脑,打印机</v>
          </cell>
          <cell r="E154" t="str">
            <v>科技发展部</v>
          </cell>
          <cell r="F154" t="str">
            <v>使用中</v>
          </cell>
          <cell r="G154" t="str">
            <v>企华</v>
          </cell>
          <cell r="H154">
            <v>34754</v>
          </cell>
          <cell r="I154" t="str">
            <v>购入</v>
          </cell>
          <cell r="J154" t="str">
            <v>平均年限法</v>
          </cell>
          <cell r="K154" t="str">
            <v>60</v>
          </cell>
          <cell r="L154">
            <v>10200</v>
          </cell>
          <cell r="M154">
            <v>10200</v>
          </cell>
          <cell r="N154">
            <v>0</v>
          </cell>
          <cell r="O154">
            <v>0</v>
          </cell>
          <cell r="P154">
            <v>10200</v>
          </cell>
          <cell r="Q154">
            <v>60</v>
          </cell>
        </row>
        <row r="155">
          <cell r="A155" t="str">
            <v>JX705</v>
          </cell>
          <cell r="B155" t="str">
            <v>打印机</v>
          </cell>
          <cell r="C155" t="str">
            <v>LQ-1600K</v>
          </cell>
          <cell r="D155" t="str">
            <v>电脑,打印机</v>
          </cell>
          <cell r="E155" t="str">
            <v>企华置业有限公司</v>
          </cell>
          <cell r="F155" t="str">
            <v>使用中</v>
          </cell>
          <cell r="G155" t="str">
            <v>中企大厦7楼</v>
          </cell>
          <cell r="H155">
            <v>35028</v>
          </cell>
          <cell r="I155" t="str">
            <v>购入</v>
          </cell>
          <cell r="J155" t="str">
            <v>平均年限法</v>
          </cell>
          <cell r="K155" t="str">
            <v>60</v>
          </cell>
          <cell r="L155">
            <v>4500</v>
          </cell>
          <cell r="M155">
            <v>4500</v>
          </cell>
          <cell r="N155">
            <v>0</v>
          </cell>
          <cell r="O155">
            <v>0</v>
          </cell>
          <cell r="P155">
            <v>4500</v>
          </cell>
          <cell r="Q155">
            <v>60</v>
          </cell>
        </row>
        <row r="156">
          <cell r="A156" t="str">
            <v>JX706</v>
          </cell>
          <cell r="B156" t="str">
            <v>传真机</v>
          </cell>
          <cell r="C156" t="str">
            <v>松下90B</v>
          </cell>
          <cell r="D156" t="str">
            <v>经租机电</v>
          </cell>
          <cell r="E156" t="str">
            <v>企华置业有限公司</v>
          </cell>
          <cell r="F156" t="str">
            <v>使用中</v>
          </cell>
          <cell r="G156" t="str">
            <v>石门二路</v>
          </cell>
          <cell r="H156">
            <v>34396</v>
          </cell>
          <cell r="I156" t="str">
            <v>购入</v>
          </cell>
          <cell r="J156" t="str">
            <v>平均年限法</v>
          </cell>
          <cell r="K156" t="str">
            <v>60</v>
          </cell>
          <cell r="L156">
            <v>9000</v>
          </cell>
          <cell r="M156">
            <v>8730</v>
          </cell>
          <cell r="N156">
            <v>270</v>
          </cell>
          <cell r="O156">
            <v>270</v>
          </cell>
          <cell r="P156">
            <v>9000</v>
          </cell>
          <cell r="Q156">
            <v>60</v>
          </cell>
        </row>
        <row r="157">
          <cell r="A157" t="str">
            <v>JX707</v>
          </cell>
          <cell r="B157" t="str">
            <v>激光打印机</v>
          </cell>
          <cell r="C157" t="str">
            <v>HPLASERJET4</v>
          </cell>
          <cell r="D157" t="str">
            <v>经租机电</v>
          </cell>
          <cell r="E157" t="str">
            <v>中企物业管理有限公司</v>
          </cell>
          <cell r="F157" t="str">
            <v>使用中</v>
          </cell>
          <cell r="G157" t="str">
            <v>长乐路</v>
          </cell>
          <cell r="H157">
            <v>36521</v>
          </cell>
          <cell r="I157" t="str">
            <v>其他增加</v>
          </cell>
          <cell r="J157" t="str">
            <v>平均年限法</v>
          </cell>
          <cell r="K157" t="str">
            <v>21648</v>
          </cell>
          <cell r="L157">
            <v>4512.5</v>
          </cell>
          <cell r="M157">
            <v>0.2</v>
          </cell>
          <cell r="N157">
            <v>4512.3</v>
          </cell>
          <cell r="O157">
            <v>135.38</v>
          </cell>
          <cell r="P157">
            <v>4512.5</v>
          </cell>
          <cell r="Q157">
            <v>21648</v>
          </cell>
        </row>
        <row r="158">
          <cell r="A158" t="str">
            <v>JX708</v>
          </cell>
          <cell r="B158" t="str">
            <v>复印机</v>
          </cell>
          <cell r="C158" t="str">
            <v>施乐</v>
          </cell>
          <cell r="D158" t="str">
            <v>经租机电</v>
          </cell>
          <cell r="E158" t="str">
            <v>中企物业管理有限公司</v>
          </cell>
          <cell r="F158" t="str">
            <v>使用中</v>
          </cell>
          <cell r="G158" t="str">
            <v>长乐路</v>
          </cell>
          <cell r="H158">
            <v>36521</v>
          </cell>
          <cell r="I158" t="str">
            <v>其他增加</v>
          </cell>
          <cell r="J158" t="str">
            <v>平均年限法</v>
          </cell>
          <cell r="K158" t="str">
            <v>9</v>
          </cell>
          <cell r="L158">
            <v>7536.18</v>
          </cell>
          <cell r="M158">
            <v>812.23</v>
          </cell>
          <cell r="N158">
            <v>6723.95</v>
          </cell>
          <cell r="O158">
            <v>226.09</v>
          </cell>
          <cell r="P158">
            <v>7536.18</v>
          </cell>
          <cell r="Q158">
            <v>9</v>
          </cell>
        </row>
        <row r="159">
          <cell r="A159" t="str">
            <v>JX709</v>
          </cell>
          <cell r="B159" t="str">
            <v>传真机</v>
          </cell>
          <cell r="C159" t="str">
            <v>CANON-490</v>
          </cell>
          <cell r="D159" t="str">
            <v>经租机电</v>
          </cell>
          <cell r="E159" t="str">
            <v>中企物业管理有限公司</v>
          </cell>
          <cell r="F159" t="str">
            <v>使用中</v>
          </cell>
          <cell r="G159" t="str">
            <v>长乐路</v>
          </cell>
          <cell r="H159">
            <v>36521</v>
          </cell>
          <cell r="I159" t="str">
            <v>其他增加</v>
          </cell>
          <cell r="J159" t="str">
            <v>平均年限法</v>
          </cell>
          <cell r="K159" t="str">
            <v>9</v>
          </cell>
          <cell r="L159">
            <v>4513.54</v>
          </cell>
          <cell r="M159">
            <v>486.46</v>
          </cell>
          <cell r="N159">
            <v>4027.08</v>
          </cell>
          <cell r="O159">
            <v>135.41</v>
          </cell>
          <cell r="P159">
            <v>4513.54</v>
          </cell>
          <cell r="Q159">
            <v>9</v>
          </cell>
        </row>
        <row r="160">
          <cell r="A160" t="str">
            <v>JX710</v>
          </cell>
          <cell r="B160" t="str">
            <v>电脑</v>
          </cell>
          <cell r="C160" t="str">
            <v>联想8850</v>
          </cell>
          <cell r="D160" t="str">
            <v>经租机电</v>
          </cell>
          <cell r="E160" t="str">
            <v>中企物业管理有限公司</v>
          </cell>
          <cell r="F160" t="str">
            <v>使用中</v>
          </cell>
          <cell r="G160" t="str">
            <v>长乐路</v>
          </cell>
          <cell r="H160">
            <v>36521</v>
          </cell>
          <cell r="I160" t="str">
            <v>其他增加</v>
          </cell>
          <cell r="J160" t="str">
            <v>平均年限法</v>
          </cell>
          <cell r="K160" t="str">
            <v>1</v>
          </cell>
          <cell r="L160">
            <v>11018.94</v>
          </cell>
          <cell r="M160">
            <v>10688.37</v>
          </cell>
          <cell r="N160">
            <v>330.57</v>
          </cell>
          <cell r="O160">
            <v>330.57</v>
          </cell>
          <cell r="P160">
            <v>11018.94</v>
          </cell>
          <cell r="Q160">
            <v>1</v>
          </cell>
        </row>
        <row r="161">
          <cell r="A161" t="str">
            <v>JX711</v>
          </cell>
          <cell r="B161" t="str">
            <v>电脑</v>
          </cell>
          <cell r="C161" t="str">
            <v>LEAPRO2000</v>
          </cell>
          <cell r="D161" t="str">
            <v>经租机电</v>
          </cell>
          <cell r="E161" t="str">
            <v>中企物业管理有限公司</v>
          </cell>
          <cell r="F161" t="str">
            <v>使用中</v>
          </cell>
          <cell r="G161" t="str">
            <v>长乐路</v>
          </cell>
          <cell r="H161">
            <v>36521</v>
          </cell>
          <cell r="I161" t="str">
            <v>其他增加</v>
          </cell>
          <cell r="J161" t="str">
            <v>平均年限法</v>
          </cell>
          <cell r="K161" t="str">
            <v>1</v>
          </cell>
          <cell r="L161">
            <v>5374.86</v>
          </cell>
          <cell r="M161">
            <v>5213.6099999999997</v>
          </cell>
          <cell r="N161">
            <v>161.25</v>
          </cell>
          <cell r="O161">
            <v>161.25</v>
          </cell>
          <cell r="P161">
            <v>5374.86</v>
          </cell>
          <cell r="Q161">
            <v>1</v>
          </cell>
        </row>
        <row r="162">
          <cell r="A162" t="str">
            <v>JXa001</v>
          </cell>
          <cell r="B162" t="str">
            <v>传真机</v>
          </cell>
          <cell r="D162" t="str">
            <v>机电类</v>
          </cell>
          <cell r="E162" t="str">
            <v>办公室</v>
          </cell>
          <cell r="F162" t="str">
            <v>使用中</v>
          </cell>
          <cell r="H162">
            <v>34435</v>
          </cell>
          <cell r="I162" t="str">
            <v>其他增加</v>
          </cell>
          <cell r="J162" t="str">
            <v>平均年限法</v>
          </cell>
          <cell r="K162" t="str">
            <v>60</v>
          </cell>
          <cell r="L162">
            <v>1870.5</v>
          </cell>
          <cell r="M162">
            <v>1600.5</v>
          </cell>
          <cell r="N162">
            <v>270</v>
          </cell>
          <cell r="O162">
            <v>270</v>
          </cell>
          <cell r="P162">
            <v>9000</v>
          </cell>
          <cell r="Q162">
            <v>60</v>
          </cell>
        </row>
        <row r="163">
          <cell r="A163" t="str">
            <v>JXa002</v>
          </cell>
          <cell r="B163" t="str">
            <v>复印机</v>
          </cell>
          <cell r="C163" t="str">
            <v>施乐</v>
          </cell>
          <cell r="D163" t="str">
            <v>机电类</v>
          </cell>
          <cell r="E163" t="str">
            <v>办公室</v>
          </cell>
          <cell r="F163" t="str">
            <v>使用中</v>
          </cell>
          <cell r="H163">
            <v>35441</v>
          </cell>
          <cell r="I163" t="str">
            <v>其他增加</v>
          </cell>
          <cell r="J163" t="str">
            <v>平均年限法</v>
          </cell>
          <cell r="K163" t="str">
            <v>60</v>
          </cell>
          <cell r="L163">
            <v>14826.72</v>
          </cell>
          <cell r="M163">
            <v>6143.37</v>
          </cell>
          <cell r="N163">
            <v>8683.35</v>
          </cell>
          <cell r="O163">
            <v>600</v>
          </cell>
          <cell r="P163">
            <v>20000</v>
          </cell>
          <cell r="Q163">
            <v>60</v>
          </cell>
        </row>
        <row r="164">
          <cell r="A164" t="str">
            <v>JXa003</v>
          </cell>
          <cell r="B164" t="str">
            <v>摄像机</v>
          </cell>
          <cell r="C164" t="str">
            <v>JVC</v>
          </cell>
          <cell r="D164" t="str">
            <v>机电类</v>
          </cell>
          <cell r="E164" t="str">
            <v>办公室</v>
          </cell>
          <cell r="F164" t="str">
            <v>使用中</v>
          </cell>
          <cell r="H164">
            <v>35896</v>
          </cell>
          <cell r="I164" t="str">
            <v>其他增加</v>
          </cell>
          <cell r="J164" t="str">
            <v>平均年限法</v>
          </cell>
          <cell r="K164" t="str">
            <v>60</v>
          </cell>
          <cell r="L164">
            <v>3442</v>
          </cell>
          <cell r="M164">
            <v>1843</v>
          </cell>
          <cell r="N164">
            <v>1599</v>
          </cell>
          <cell r="O164">
            <v>180</v>
          </cell>
          <cell r="P164">
            <v>6000</v>
          </cell>
          <cell r="Q164">
            <v>60</v>
          </cell>
        </row>
        <row r="165">
          <cell r="A165" t="str">
            <v>JY501</v>
          </cell>
          <cell r="B165" t="str">
            <v>照相机</v>
          </cell>
          <cell r="C165" t="str">
            <v>奥林巴斯</v>
          </cell>
          <cell r="D165" t="str">
            <v>机电类</v>
          </cell>
          <cell r="E165" t="str">
            <v>工会</v>
          </cell>
          <cell r="F165" t="str">
            <v>使用中</v>
          </cell>
          <cell r="H165">
            <v>34525</v>
          </cell>
          <cell r="I165" t="str">
            <v>购入</v>
          </cell>
          <cell r="J165" t="str">
            <v>平均年限法</v>
          </cell>
          <cell r="K165" t="str">
            <v>60</v>
          </cell>
          <cell r="L165">
            <v>6172</v>
          </cell>
          <cell r="M165">
            <v>5986.84</v>
          </cell>
          <cell r="N165">
            <v>185.16</v>
          </cell>
          <cell r="O165">
            <v>185.16</v>
          </cell>
          <cell r="P165">
            <v>6172</v>
          </cell>
          <cell r="Q165">
            <v>60</v>
          </cell>
        </row>
        <row r="166">
          <cell r="A166" t="str">
            <v>JY502</v>
          </cell>
          <cell r="B166" t="str">
            <v>照相机</v>
          </cell>
          <cell r="C166" t="str">
            <v>JY502</v>
          </cell>
          <cell r="D166" t="str">
            <v>经租机电</v>
          </cell>
          <cell r="E166" t="str">
            <v>中企物业管理有限公司</v>
          </cell>
          <cell r="F166" t="str">
            <v>使用中</v>
          </cell>
          <cell r="G166" t="str">
            <v>长乐路</v>
          </cell>
          <cell r="H166">
            <v>36521</v>
          </cell>
          <cell r="I166" t="str">
            <v>其他增加</v>
          </cell>
          <cell r="J166" t="str">
            <v>平均年限法</v>
          </cell>
          <cell r="K166" t="str">
            <v>12</v>
          </cell>
          <cell r="L166">
            <v>5389.83</v>
          </cell>
          <cell r="M166">
            <v>435.68</v>
          </cell>
          <cell r="N166">
            <v>4954.1499999999996</v>
          </cell>
          <cell r="O166">
            <v>161.69</v>
          </cell>
          <cell r="P166">
            <v>5389.83</v>
          </cell>
          <cell r="Q166">
            <v>12</v>
          </cell>
        </row>
        <row r="167">
          <cell r="A167" t="str">
            <v>K10</v>
          </cell>
          <cell r="B167" t="str">
            <v>窗式空调</v>
          </cell>
          <cell r="C167" t="str">
            <v>春兰KCD-31B</v>
          </cell>
          <cell r="D167" t="str">
            <v>经租机电</v>
          </cell>
          <cell r="E167" t="str">
            <v>中企物业管理有限公司</v>
          </cell>
          <cell r="F167" t="str">
            <v>使用中</v>
          </cell>
          <cell r="G167" t="str">
            <v>长乐路</v>
          </cell>
          <cell r="H167">
            <v>36521</v>
          </cell>
          <cell r="I167" t="str">
            <v>其他增加</v>
          </cell>
          <cell r="J167" t="str">
            <v>平均年限法</v>
          </cell>
          <cell r="K167" t="str">
            <v>19</v>
          </cell>
          <cell r="L167">
            <v>1387.24</v>
          </cell>
          <cell r="M167">
            <v>70.819999999999993</v>
          </cell>
          <cell r="N167">
            <v>1316.42</v>
          </cell>
          <cell r="O167">
            <v>41.62</v>
          </cell>
          <cell r="P167">
            <v>1387.24</v>
          </cell>
          <cell r="Q167">
            <v>19</v>
          </cell>
        </row>
        <row r="168">
          <cell r="A168" t="str">
            <v>K7</v>
          </cell>
          <cell r="B168" t="str">
            <v>空调</v>
          </cell>
          <cell r="C168" t="str">
            <v>春兰窗式</v>
          </cell>
          <cell r="D168" t="str">
            <v>机电类</v>
          </cell>
          <cell r="E168" t="str">
            <v>办公室</v>
          </cell>
          <cell r="F168" t="str">
            <v>使用中</v>
          </cell>
          <cell r="G168" t="str">
            <v>物业</v>
          </cell>
          <cell r="H168">
            <v>32927</v>
          </cell>
          <cell r="I168" t="str">
            <v>其他增加</v>
          </cell>
          <cell r="J168" t="str">
            <v>平均年限法</v>
          </cell>
          <cell r="K168" t="str">
            <v>60</v>
          </cell>
          <cell r="L168">
            <v>7900</v>
          </cell>
          <cell r="M168">
            <v>7663</v>
          </cell>
          <cell r="N168">
            <v>237</v>
          </cell>
          <cell r="O168">
            <v>237</v>
          </cell>
          <cell r="P168">
            <v>7900</v>
          </cell>
          <cell r="Q168">
            <v>60</v>
          </cell>
        </row>
        <row r="169">
          <cell r="A169" t="str">
            <v>K8</v>
          </cell>
          <cell r="B169" t="str">
            <v>空调</v>
          </cell>
          <cell r="C169" t="str">
            <v>春兰窗式</v>
          </cell>
          <cell r="D169" t="str">
            <v>机电类</v>
          </cell>
          <cell r="E169" t="str">
            <v>办公室</v>
          </cell>
          <cell r="F169" t="str">
            <v>使用中</v>
          </cell>
          <cell r="G169" t="str">
            <v>物业</v>
          </cell>
          <cell r="H169">
            <v>32927</v>
          </cell>
          <cell r="I169" t="str">
            <v>其他增加</v>
          </cell>
          <cell r="J169" t="str">
            <v>平均年限法</v>
          </cell>
          <cell r="K169" t="str">
            <v>60</v>
          </cell>
          <cell r="L169">
            <v>7900</v>
          </cell>
          <cell r="M169">
            <v>7663</v>
          </cell>
          <cell r="N169">
            <v>237</v>
          </cell>
          <cell r="O169">
            <v>237</v>
          </cell>
          <cell r="P169">
            <v>7900</v>
          </cell>
          <cell r="Q169">
            <v>60</v>
          </cell>
        </row>
        <row r="170">
          <cell r="A170" t="str">
            <v>K9</v>
          </cell>
          <cell r="B170" t="str">
            <v>窗式空调</v>
          </cell>
          <cell r="C170" t="str">
            <v>CARRY-32</v>
          </cell>
          <cell r="D170" t="str">
            <v>经租机电</v>
          </cell>
          <cell r="E170" t="str">
            <v>中企物业管理有限公司</v>
          </cell>
          <cell r="F170" t="str">
            <v>使用中</v>
          </cell>
          <cell r="G170" t="str">
            <v>长乐路</v>
          </cell>
          <cell r="H170">
            <v>36521</v>
          </cell>
          <cell r="I170" t="str">
            <v>其他增加</v>
          </cell>
          <cell r="J170" t="str">
            <v>平均年限法</v>
          </cell>
          <cell r="K170" t="str">
            <v>4</v>
          </cell>
          <cell r="L170">
            <v>2346.83</v>
          </cell>
          <cell r="M170">
            <v>569.11</v>
          </cell>
          <cell r="N170">
            <v>1777.72</v>
          </cell>
          <cell r="O170">
            <v>70.400000000000006</v>
          </cell>
          <cell r="P170">
            <v>2346.83</v>
          </cell>
          <cell r="Q170">
            <v>4</v>
          </cell>
        </row>
      </sheetData>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清单1.1"/>
      <sheetName val="固定资产清单"/>
      <sheetName val="清单12.31"/>
      <sheetName val="变动9901"/>
      <sheetName val="变动9912"/>
      <sheetName val="明细帐"/>
      <sheetName val="房屋建筑"/>
      <sheetName val="汽车"/>
      <sheetName val="机电"/>
      <sheetName val="家具"/>
      <sheetName val="电脑打印机"/>
      <sheetName val="经租机电"/>
      <sheetName val="职工产权房"/>
      <sheetName val="处理-报废"/>
      <sheetName val="处理-其他减少"/>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清单1.1"/>
      <sheetName val="固定资产清单"/>
      <sheetName val="清单12.31"/>
      <sheetName val="变动9901"/>
      <sheetName val="变动9912"/>
      <sheetName val="明细帐"/>
      <sheetName val="房屋建筑"/>
      <sheetName val="汽车"/>
      <sheetName val="机电"/>
      <sheetName val="家具"/>
      <sheetName val="电脑打印机"/>
      <sheetName val="经租机电"/>
      <sheetName val="职工产权房"/>
      <sheetName val="处理-报废"/>
      <sheetName val="处理-其他减少"/>
      <sheetName val="总"/>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C000"/>
  </sheetPr>
  <dimension ref="A1:C11"/>
  <sheetViews>
    <sheetView workbookViewId="0">
      <selection activeCell="B30" sqref="B30"/>
    </sheetView>
  </sheetViews>
  <sheetFormatPr defaultRowHeight="16"/>
  <cols>
    <col min="1" max="1" width="16.08203125" style="79" customWidth="1"/>
    <col min="2" max="2" width="45.25" style="45" customWidth="1"/>
    <col min="3" max="3" width="51.08203125" style="45" customWidth="1"/>
  </cols>
  <sheetData>
    <row r="1" spans="1:3" ht="15">
      <c r="A1" s="79" t="s">
        <v>0</v>
      </c>
      <c r="B1" s="413" t="s">
        <v>663</v>
      </c>
      <c r="C1" s="14" t="s">
        <v>257</v>
      </c>
    </row>
    <row r="2" spans="1:3">
      <c r="A2" s="79" t="s">
        <v>1</v>
      </c>
      <c r="B2" s="80">
        <v>44926</v>
      </c>
      <c r="C2" s="80" t="s">
        <v>685</v>
      </c>
    </row>
    <row r="3" spans="1:3">
      <c r="A3" s="79" t="s">
        <v>2</v>
      </c>
      <c r="B3" s="81" t="s">
        <v>684</v>
      </c>
      <c r="C3" s="45" t="s">
        <v>686</v>
      </c>
    </row>
    <row r="7" spans="1:3">
      <c r="A7" s="79" t="s">
        <v>504</v>
      </c>
      <c r="B7" s="45" t="s">
        <v>503</v>
      </c>
    </row>
    <row r="8" spans="1:3">
      <c r="A8" s="191">
        <v>2</v>
      </c>
      <c r="B8" s="190" t="s">
        <v>550</v>
      </c>
    </row>
    <row r="9" spans="1:3">
      <c r="A9" s="191">
        <v>3</v>
      </c>
      <c r="B9" s="190" t="s">
        <v>505</v>
      </c>
    </row>
    <row r="10" spans="1:3">
      <c r="A10" s="191">
        <v>4</v>
      </c>
      <c r="B10" s="190" t="s">
        <v>551</v>
      </c>
    </row>
    <row r="11" spans="1:3">
      <c r="A11" s="191">
        <v>5</v>
      </c>
      <c r="B11" s="190" t="s">
        <v>552</v>
      </c>
    </row>
  </sheetData>
  <phoneticPr fontId="14" type="noConversion"/>
  <pageMargins left="0.75" right="0.75" top="1" bottom="1" header="0.5" footer="0.5"/>
  <pageSetup paperSize="9"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I50"/>
  <sheetViews>
    <sheetView view="pageBreakPreview" topLeftCell="A7" zoomScale="70" zoomScaleNormal="100" zoomScaleSheetLayoutView="70" workbookViewId="0">
      <selection activeCell="A10" sqref="A10"/>
    </sheetView>
  </sheetViews>
  <sheetFormatPr defaultColWidth="8.58203125" defaultRowHeight="15.5"/>
  <cols>
    <col min="1" max="1" width="40.25" style="55" customWidth="1"/>
    <col min="2" max="3" width="20" style="57" customWidth="1"/>
    <col min="4" max="4" width="46" style="55" customWidth="1"/>
    <col min="5" max="6" width="20.5" style="57" customWidth="1"/>
    <col min="7" max="8" width="9" style="56" customWidth="1"/>
    <col min="9" max="9" width="13.25" style="56" customWidth="1"/>
    <col min="10" max="10" width="11.58203125" style="56" customWidth="1"/>
    <col min="11" max="30" width="9" style="56" bestFit="1" customWidth="1"/>
    <col min="31" max="16384" width="8.58203125" style="56"/>
  </cols>
  <sheetData>
    <row r="1" spans="1:6" ht="33.75" customHeight="1">
      <c r="A1" s="449" t="str">
        <f>Basic!B1</f>
        <v>***公司</v>
      </c>
      <c r="B1" s="449"/>
      <c r="C1" s="449"/>
      <c r="D1" s="449"/>
      <c r="E1" s="449"/>
      <c r="F1" s="449"/>
    </row>
    <row r="2" spans="1:6" ht="33.75" customHeight="1">
      <c r="A2" s="449" t="s">
        <v>664</v>
      </c>
      <c r="B2" s="449"/>
      <c r="C2" s="449"/>
      <c r="D2" s="449"/>
      <c r="E2" s="449"/>
      <c r="F2" s="449"/>
    </row>
    <row r="3" spans="1:6" s="58" customFormat="1" ht="24.75" customHeight="1">
      <c r="A3" s="450">
        <v>44926</v>
      </c>
      <c r="B3" s="450"/>
      <c r="C3" s="450"/>
      <c r="D3" s="450"/>
      <c r="E3" s="450"/>
      <c r="F3" s="450"/>
    </row>
    <row r="4" spans="1:6" s="58" customFormat="1" ht="28.15" customHeight="1" thickBot="1">
      <c r="A4" s="87"/>
      <c r="B4" s="88"/>
      <c r="C4" s="89"/>
      <c r="D4" s="90"/>
      <c r="E4" s="88"/>
      <c r="F4" s="91" t="s">
        <v>187</v>
      </c>
    </row>
    <row r="5" spans="1:6" s="55" customFormat="1" ht="33" customHeight="1">
      <c r="A5" s="114" t="s">
        <v>181</v>
      </c>
      <c r="B5" s="115" t="s">
        <v>176</v>
      </c>
      <c r="C5" s="115" t="s">
        <v>508</v>
      </c>
      <c r="D5" s="116" t="s">
        <v>182</v>
      </c>
      <c r="E5" s="115" t="str">
        <f>B5</f>
        <v>年末余额</v>
      </c>
      <c r="F5" s="117" t="str">
        <f>C5</f>
        <v>年初余额</v>
      </c>
    </row>
    <row r="6" spans="1:6" ht="33" customHeight="1">
      <c r="A6" s="118" t="s">
        <v>175</v>
      </c>
      <c r="B6" s="119" t="s">
        <v>4</v>
      </c>
      <c r="C6" s="119" t="s">
        <v>4</v>
      </c>
      <c r="D6" s="120" t="s">
        <v>177</v>
      </c>
      <c r="E6" s="119" t="s">
        <v>4</v>
      </c>
      <c r="F6" s="181" t="s">
        <v>4</v>
      </c>
    </row>
    <row r="7" spans="1:6" ht="33" customHeight="1">
      <c r="A7" s="121" t="s">
        <v>179</v>
      </c>
      <c r="B7" s="110"/>
      <c r="C7" s="110"/>
      <c r="D7" s="122" t="s">
        <v>25</v>
      </c>
      <c r="E7" s="170"/>
      <c r="F7" s="172"/>
    </row>
    <row r="8" spans="1:6" ht="33" customHeight="1">
      <c r="A8" s="123" t="s">
        <v>302</v>
      </c>
      <c r="B8" s="170"/>
      <c r="C8" s="110"/>
      <c r="D8" s="125" t="s">
        <v>304</v>
      </c>
      <c r="E8" s="170"/>
      <c r="F8" s="172"/>
    </row>
    <row r="9" spans="1:6" ht="33" customHeight="1">
      <c r="A9" s="123" t="s">
        <v>303</v>
      </c>
      <c r="B9" s="110"/>
      <c r="C9" s="110"/>
      <c r="D9" s="125" t="s">
        <v>305</v>
      </c>
      <c r="E9" s="170"/>
      <c r="F9" s="172"/>
    </row>
    <row r="10" spans="1:6" ht="33" customHeight="1">
      <c r="A10" s="123" t="s">
        <v>364</v>
      </c>
      <c r="B10" s="110"/>
      <c r="C10" s="110"/>
      <c r="D10" s="125" t="s">
        <v>509</v>
      </c>
      <c r="E10" s="170"/>
      <c r="F10" s="172"/>
    </row>
    <row r="11" spans="1:6" ht="33" customHeight="1">
      <c r="A11" s="123" t="s">
        <v>366</v>
      </c>
      <c r="B11" s="110"/>
      <c r="C11" s="110"/>
      <c r="D11" s="125" t="s">
        <v>510</v>
      </c>
      <c r="E11" s="170"/>
      <c r="F11" s="172"/>
    </row>
    <row r="12" spans="1:6" ht="33" customHeight="1">
      <c r="A12" s="393" t="s">
        <v>605</v>
      </c>
      <c r="B12" s="110"/>
      <c r="C12" s="110"/>
      <c r="D12" s="125" t="s">
        <v>578</v>
      </c>
      <c r="E12" s="170"/>
      <c r="F12" s="172"/>
    </row>
    <row r="13" spans="1:6" ht="33" customHeight="1">
      <c r="A13" s="121" t="s">
        <v>180</v>
      </c>
      <c r="B13" s="110"/>
      <c r="C13" s="110"/>
      <c r="D13" s="394" t="s">
        <v>609</v>
      </c>
      <c r="E13" s="170"/>
      <c r="F13" s="172"/>
    </row>
    <row r="14" spans="1:6" ht="33" customHeight="1">
      <c r="A14" s="121" t="s">
        <v>291</v>
      </c>
      <c r="B14" s="110"/>
      <c r="C14" s="110"/>
      <c r="D14" s="124" t="s">
        <v>306</v>
      </c>
      <c r="E14" s="170"/>
      <c r="F14" s="172"/>
    </row>
    <row r="15" spans="1:6" ht="33" customHeight="1">
      <c r="A15" s="123" t="s">
        <v>292</v>
      </c>
      <c r="B15" s="110"/>
      <c r="C15" s="110"/>
      <c r="D15" s="125" t="s">
        <v>307</v>
      </c>
      <c r="E15" s="170"/>
      <c r="F15" s="172"/>
    </row>
    <row r="16" spans="1:6" ht="33" customHeight="1">
      <c r="A16" s="393" t="s">
        <v>602</v>
      </c>
      <c r="B16" s="110"/>
      <c r="C16" s="110"/>
      <c r="D16" s="125" t="s">
        <v>308</v>
      </c>
      <c r="E16" s="170"/>
      <c r="F16" s="172"/>
    </row>
    <row r="17" spans="1:6" ht="33" customHeight="1">
      <c r="A17" s="123" t="s">
        <v>293</v>
      </c>
      <c r="B17" s="110"/>
      <c r="C17" s="110"/>
      <c r="D17" s="125" t="s">
        <v>178</v>
      </c>
      <c r="E17" s="170"/>
      <c r="F17" s="172"/>
    </row>
    <row r="18" spans="1:6" ht="33" customHeight="1">
      <c r="A18" s="121" t="s">
        <v>294</v>
      </c>
      <c r="B18" s="170"/>
      <c r="C18" s="110"/>
      <c r="D18" s="124" t="s">
        <v>193</v>
      </c>
      <c r="E18" s="170"/>
      <c r="F18" s="172"/>
    </row>
    <row r="19" spans="1:6" ht="33" customHeight="1">
      <c r="A19" s="123" t="s">
        <v>295</v>
      </c>
      <c r="B19" s="110"/>
      <c r="C19" s="110"/>
      <c r="D19" s="124" t="s">
        <v>194</v>
      </c>
      <c r="E19" s="170"/>
      <c r="F19" s="172"/>
    </row>
    <row r="20" spans="1:6" ht="33" customHeight="1">
      <c r="A20" s="278" t="s">
        <v>296</v>
      </c>
      <c r="B20" s="270">
        <f>SUM(B7:B19)</f>
        <v>0</v>
      </c>
      <c r="C20" s="270">
        <f>SUM(C7:C19)</f>
        <v>0</v>
      </c>
      <c r="D20" s="276" t="s">
        <v>206</v>
      </c>
      <c r="E20" s="284">
        <f>SUM(E7:E19)</f>
        <v>0</v>
      </c>
      <c r="F20" s="285">
        <f>SUM(F7:F19)</f>
        <v>0</v>
      </c>
    </row>
    <row r="21" spans="1:6" ht="33" customHeight="1">
      <c r="A21" s="118" t="s">
        <v>297</v>
      </c>
      <c r="B21" s="171" t="s">
        <v>4</v>
      </c>
      <c r="C21" s="171" t="s">
        <v>4</v>
      </c>
      <c r="D21" s="120" t="s">
        <v>207</v>
      </c>
      <c r="E21" s="171" t="s">
        <v>4</v>
      </c>
      <c r="F21" s="180" t="s">
        <v>4</v>
      </c>
    </row>
    <row r="22" spans="1:6" ht="33" customHeight="1">
      <c r="A22" s="123" t="s">
        <v>604</v>
      </c>
      <c r="B22" s="110"/>
      <c r="C22" s="110"/>
      <c r="D22" s="122" t="s">
        <v>26</v>
      </c>
      <c r="E22" s="170"/>
      <c r="F22" s="172"/>
    </row>
    <row r="23" spans="1:6" ht="33" customHeight="1">
      <c r="A23" s="123" t="s">
        <v>603</v>
      </c>
      <c r="B23" s="110"/>
      <c r="C23" s="110"/>
      <c r="D23" s="122" t="s">
        <v>27</v>
      </c>
      <c r="E23" s="170"/>
      <c r="F23" s="172"/>
    </row>
    <row r="24" spans="1:6" ht="33" customHeight="1">
      <c r="A24" s="123" t="s">
        <v>298</v>
      </c>
      <c r="B24" s="110"/>
      <c r="C24" s="110"/>
      <c r="D24" s="125" t="s">
        <v>284</v>
      </c>
      <c r="E24" s="170"/>
      <c r="F24" s="172"/>
    </row>
    <row r="25" spans="1:6" ht="33" customHeight="1">
      <c r="A25" s="123" t="s">
        <v>299</v>
      </c>
      <c r="B25" s="110"/>
      <c r="C25" s="110"/>
      <c r="D25" s="125" t="s">
        <v>285</v>
      </c>
      <c r="E25" s="170"/>
      <c r="F25" s="172"/>
    </row>
    <row r="26" spans="1:6" ht="33" customHeight="1">
      <c r="A26" s="123" t="s">
        <v>606</v>
      </c>
      <c r="B26" s="110"/>
      <c r="C26" s="110"/>
      <c r="D26" s="122" t="s">
        <v>610</v>
      </c>
      <c r="E26" s="170"/>
      <c r="F26" s="172"/>
    </row>
    <row r="27" spans="1:6" ht="33" customHeight="1">
      <c r="A27" s="123" t="s">
        <v>607</v>
      </c>
      <c r="B27" s="110"/>
      <c r="C27" s="110"/>
      <c r="D27" s="122" t="s">
        <v>28</v>
      </c>
      <c r="E27" s="170"/>
      <c r="F27" s="172"/>
    </row>
    <row r="28" spans="1:6" ht="33" customHeight="1">
      <c r="A28" s="123" t="s">
        <v>278</v>
      </c>
      <c r="B28" s="110"/>
      <c r="C28" s="110"/>
      <c r="D28" s="125" t="s">
        <v>29</v>
      </c>
      <c r="E28" s="170"/>
      <c r="F28" s="172"/>
    </row>
    <row r="29" spans="1:6" ht="33" customHeight="1">
      <c r="A29" s="123" t="s">
        <v>279</v>
      </c>
      <c r="B29" s="110"/>
      <c r="C29" s="110"/>
      <c r="D29" s="124" t="s">
        <v>183</v>
      </c>
      <c r="E29" s="170"/>
      <c r="F29" s="172"/>
    </row>
    <row r="30" spans="1:6" ht="33" customHeight="1">
      <c r="A30" s="123" t="s">
        <v>280</v>
      </c>
      <c r="B30" s="110"/>
      <c r="C30" s="110"/>
      <c r="D30" s="122" t="s">
        <v>184</v>
      </c>
      <c r="E30" s="170"/>
      <c r="F30" s="172"/>
    </row>
    <row r="31" spans="1:6" ht="33" customHeight="1">
      <c r="A31" s="123" t="s">
        <v>281</v>
      </c>
      <c r="B31" s="110"/>
      <c r="C31" s="110"/>
      <c r="D31" s="122" t="s">
        <v>30</v>
      </c>
      <c r="E31" s="170"/>
      <c r="F31" s="172"/>
    </row>
    <row r="32" spans="1:6" ht="33" customHeight="1">
      <c r="A32" s="123" t="s">
        <v>282</v>
      </c>
      <c r="B32" s="110"/>
      <c r="C32" s="110"/>
      <c r="D32" s="276" t="s">
        <v>208</v>
      </c>
      <c r="E32" s="284">
        <f>E22+E23+E26+E27+E28+E29+E30+E31</f>
        <v>0</v>
      </c>
      <c r="F32" s="285">
        <f>F22+F23+F26+F27+F28+F29+F30+F31</f>
        <v>0</v>
      </c>
    </row>
    <row r="33" spans="1:9" ht="33" customHeight="1">
      <c r="A33" s="123" t="s">
        <v>608</v>
      </c>
      <c r="B33" s="110"/>
      <c r="C33" s="110"/>
      <c r="D33" s="277" t="s">
        <v>209</v>
      </c>
      <c r="E33" s="284">
        <f>E20+E32</f>
        <v>0</v>
      </c>
      <c r="F33" s="285">
        <f>F20+F32</f>
        <v>0</v>
      </c>
    </row>
    <row r="34" spans="1:9" ht="33" customHeight="1">
      <c r="A34" s="123" t="s">
        <v>300</v>
      </c>
      <c r="B34" s="110"/>
      <c r="C34" s="110"/>
      <c r="D34" s="120" t="s">
        <v>611</v>
      </c>
      <c r="E34" s="171" t="s">
        <v>4</v>
      </c>
      <c r="F34" s="180" t="s">
        <v>4</v>
      </c>
    </row>
    <row r="35" spans="1:9" ht="33" customHeight="1">
      <c r="A35" s="123" t="s">
        <v>301</v>
      </c>
      <c r="B35" s="110"/>
      <c r="C35" s="110"/>
      <c r="D35" s="122" t="s">
        <v>31</v>
      </c>
      <c r="E35" s="170"/>
      <c r="F35" s="172"/>
    </row>
    <row r="36" spans="1:9" ht="33" customHeight="1">
      <c r="A36" s="123" t="s">
        <v>286</v>
      </c>
      <c r="B36" s="110"/>
      <c r="C36" s="110"/>
      <c r="D36" s="125" t="s">
        <v>283</v>
      </c>
      <c r="E36" s="170"/>
      <c r="F36" s="172"/>
    </row>
    <row r="37" spans="1:9" ht="33" customHeight="1">
      <c r="A37" s="123" t="s">
        <v>287</v>
      </c>
      <c r="B37" s="110"/>
      <c r="C37" s="110"/>
      <c r="D37" s="125" t="s">
        <v>284</v>
      </c>
      <c r="E37" s="170"/>
      <c r="F37" s="172"/>
    </row>
    <row r="38" spans="1:9" ht="33" customHeight="1">
      <c r="A38" s="123" t="s">
        <v>288</v>
      </c>
      <c r="B38" s="110"/>
      <c r="C38" s="110"/>
      <c r="D38" s="125" t="s">
        <v>285</v>
      </c>
      <c r="E38" s="170"/>
      <c r="F38" s="172"/>
    </row>
    <row r="39" spans="1:9" ht="33" customHeight="1">
      <c r="A39" s="123" t="s">
        <v>289</v>
      </c>
      <c r="B39" s="110"/>
      <c r="C39" s="110"/>
      <c r="D39" s="124" t="s">
        <v>185</v>
      </c>
      <c r="E39" s="170"/>
      <c r="F39" s="172"/>
    </row>
    <row r="40" spans="1:9" ht="33" customHeight="1">
      <c r="A40" s="278" t="s">
        <v>290</v>
      </c>
      <c r="B40" s="270">
        <f>SUM(B22:B39)</f>
        <v>0</v>
      </c>
      <c r="C40" s="270">
        <f>SUM(C22:C39)</f>
        <v>0</v>
      </c>
      <c r="D40" s="122" t="s">
        <v>186</v>
      </c>
      <c r="E40" s="170"/>
      <c r="F40" s="172"/>
    </row>
    <row r="41" spans="1:9" ht="33" customHeight="1">
      <c r="A41" s="123"/>
      <c r="B41" s="110"/>
      <c r="C41" s="110"/>
      <c r="D41" s="122" t="s">
        <v>523</v>
      </c>
      <c r="E41" s="170"/>
      <c r="F41" s="172"/>
    </row>
    <row r="42" spans="1:9" ht="33" customHeight="1">
      <c r="A42" s="118"/>
      <c r="B42" s="110"/>
      <c r="C42" s="110"/>
      <c r="D42" s="394" t="s">
        <v>612</v>
      </c>
      <c r="E42" s="170"/>
      <c r="F42" s="172"/>
    </row>
    <row r="43" spans="1:9" ht="33" customHeight="1">
      <c r="A43" s="179"/>
      <c r="B43" s="110"/>
      <c r="C43" s="110"/>
      <c r="D43" s="125" t="s">
        <v>524</v>
      </c>
      <c r="E43" s="170"/>
      <c r="F43" s="172"/>
    </row>
    <row r="44" spans="1:9" ht="33" customHeight="1">
      <c r="A44" s="121"/>
      <c r="B44" s="113"/>
      <c r="C44" s="113"/>
      <c r="D44" s="125" t="s">
        <v>525</v>
      </c>
      <c r="E44" s="170"/>
      <c r="F44" s="172"/>
    </row>
    <row r="45" spans="1:9" ht="33" customHeight="1">
      <c r="A45" s="118"/>
      <c r="B45" s="110"/>
      <c r="C45" s="110"/>
      <c r="D45" s="279" t="s">
        <v>195</v>
      </c>
      <c r="E45" s="284">
        <f>E35+E36+E39-E40+E41+E42+E43+E44</f>
        <v>0</v>
      </c>
      <c r="F45" s="285">
        <f>F35+F36+F39-F40+F41+F42+F43+F44</f>
        <v>0</v>
      </c>
    </row>
    <row r="46" spans="1:9" ht="33" customHeight="1" thickBot="1">
      <c r="A46" s="280" t="s">
        <v>196</v>
      </c>
      <c r="B46" s="281">
        <f>B20+B40</f>
        <v>0</v>
      </c>
      <c r="C46" s="281">
        <f>C20+C40</f>
        <v>0</v>
      </c>
      <c r="D46" s="282" t="s">
        <v>33</v>
      </c>
      <c r="E46" s="281">
        <f>E33+E45</f>
        <v>0</v>
      </c>
      <c r="F46" s="283">
        <f>F33+F45</f>
        <v>0</v>
      </c>
      <c r="I46" s="57"/>
    </row>
    <row r="47" spans="1:9" s="55" customFormat="1" ht="33" customHeight="1">
      <c r="A47" s="85" t="s">
        <v>34</v>
      </c>
      <c r="B47" s="92"/>
      <c r="C47" s="92"/>
      <c r="D47" s="92" t="s">
        <v>35</v>
      </c>
      <c r="E47" s="86"/>
      <c r="F47" s="86"/>
    </row>
    <row r="48" spans="1:9">
      <c r="B48" s="59"/>
      <c r="C48" s="59"/>
      <c r="E48" s="59"/>
      <c r="F48" s="59"/>
    </row>
    <row r="49" spans="4:6" ht="18">
      <c r="D49" s="173" t="s">
        <v>218</v>
      </c>
      <c r="E49" s="173">
        <f>E46-B46</f>
        <v>0</v>
      </c>
      <c r="F49" s="173">
        <f>F46-C46</f>
        <v>0</v>
      </c>
    </row>
    <row r="50" spans="4:6" ht="18">
      <c r="D50" s="174"/>
      <c r="E50" s="173"/>
      <c r="F50" s="173"/>
    </row>
  </sheetData>
  <mergeCells count="3">
    <mergeCell ref="A1:F1"/>
    <mergeCell ref="A3:F3"/>
    <mergeCell ref="A2:F2"/>
  </mergeCells>
  <phoneticPr fontId="14" type="noConversion"/>
  <printOptions horizontalCentered="1" verticalCentered="1"/>
  <pageMargins left="0.98425196850393704" right="0.78740157480314965" top="0.39370078740157483" bottom="0.23622047244094491" header="0.39370078740157483" footer="0.23622047244094491"/>
  <pageSetup paperSize="9" scale="46" orientation="portrait" blackAndWhite="1"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F58"/>
  <sheetViews>
    <sheetView view="pageBreakPreview" zoomScale="70" zoomScaleNormal="80" zoomScaleSheetLayoutView="70" workbookViewId="0">
      <selection activeCell="F6" sqref="F6"/>
    </sheetView>
  </sheetViews>
  <sheetFormatPr defaultColWidth="8.58203125" defaultRowHeight="15.65" customHeight="1"/>
  <cols>
    <col min="1" max="1" width="37.5" style="435" customWidth="1"/>
    <col min="2" max="3" width="16.25" style="69" customWidth="1"/>
    <col min="4" max="4" width="45.75" style="435" customWidth="1"/>
    <col min="5" max="5" width="17.75" style="69" customWidth="1"/>
    <col min="6" max="6" width="18" style="69" customWidth="1"/>
    <col min="7" max="14" width="9" style="69" customWidth="1"/>
    <col min="15" max="30" width="9" style="69" bestFit="1" customWidth="1"/>
    <col min="31" max="16384" width="8.58203125" style="69"/>
  </cols>
  <sheetData>
    <row r="1" spans="1:6" ht="40.5" customHeight="1">
      <c r="A1" s="451" t="str">
        <f>Basic!C1</f>
        <v>*****</v>
      </c>
      <c r="B1" s="451"/>
      <c r="C1" s="451"/>
      <c r="D1" s="451"/>
      <c r="E1" s="451"/>
      <c r="F1" s="451"/>
    </row>
    <row r="2" spans="1:6" ht="40.5" customHeight="1">
      <c r="A2" s="451" t="s">
        <v>597</v>
      </c>
      <c r="B2" s="451"/>
      <c r="C2" s="451"/>
      <c r="D2" s="451"/>
      <c r="E2" s="451"/>
      <c r="F2" s="451"/>
    </row>
    <row r="3" spans="1:6" s="66" customFormat="1" ht="21.75" customHeight="1">
      <c r="A3" s="452" t="s">
        <v>687</v>
      </c>
      <c r="B3" s="453"/>
      <c r="C3" s="453"/>
      <c r="D3" s="453"/>
      <c r="E3" s="453"/>
      <c r="F3" s="453"/>
    </row>
    <row r="4" spans="1:6" s="157" customFormat="1" ht="21.75" customHeight="1" thickBot="1">
      <c r="A4" s="454"/>
      <c r="B4" s="454"/>
      <c r="C4" s="455"/>
      <c r="D4" s="455"/>
      <c r="E4" s="156"/>
      <c r="F4" s="156" t="s">
        <v>173</v>
      </c>
    </row>
    <row r="5" spans="1:6" s="84" customFormat="1" ht="30.75" customHeight="1">
      <c r="A5" s="425" t="s">
        <v>188</v>
      </c>
      <c r="B5" s="130">
        <v>44926</v>
      </c>
      <c r="C5" s="130">
        <v>44561</v>
      </c>
      <c r="D5" s="437" t="s">
        <v>192</v>
      </c>
      <c r="E5" s="130">
        <f>B5</f>
        <v>44926</v>
      </c>
      <c r="F5" s="131">
        <f>C5</f>
        <v>44561</v>
      </c>
    </row>
    <row r="6" spans="1:6" s="72" customFormat="1" ht="30.75" customHeight="1">
      <c r="A6" s="426" t="s">
        <v>553</v>
      </c>
      <c r="B6" s="132" t="s">
        <v>4</v>
      </c>
      <c r="C6" s="132" t="s">
        <v>4</v>
      </c>
      <c r="D6" s="438" t="s">
        <v>560</v>
      </c>
      <c r="E6" s="132" t="s">
        <v>4</v>
      </c>
      <c r="F6" s="133" t="s">
        <v>4</v>
      </c>
    </row>
    <row r="7" spans="1:6" s="72" customFormat="1" ht="30.75" customHeight="1">
      <c r="A7" s="427" t="s">
        <v>172</v>
      </c>
      <c r="B7" s="266">
        <f>'1-BS_CN'!B7</f>
        <v>0</v>
      </c>
      <c r="C7" s="266">
        <f>'1-BS_CN'!C7</f>
        <v>0</v>
      </c>
      <c r="D7" s="418" t="s">
        <v>671</v>
      </c>
      <c r="E7" s="266">
        <f>'1-BS_CN'!E7</f>
        <v>0</v>
      </c>
      <c r="F7" s="267">
        <f>'1-BS_CN'!F7</f>
        <v>0</v>
      </c>
    </row>
    <row r="8" spans="1:6" s="72" customFormat="1" ht="30.75" customHeight="1">
      <c r="A8" s="427" t="s">
        <v>561</v>
      </c>
      <c r="B8" s="266">
        <f>'1-BS_CN'!B8</f>
        <v>0</v>
      </c>
      <c r="C8" s="266">
        <f>'1-BS_CN'!C8</f>
        <v>0</v>
      </c>
      <c r="D8" s="418" t="s">
        <v>562</v>
      </c>
      <c r="E8" s="266">
        <f>'1-BS_CN'!E8</f>
        <v>0</v>
      </c>
      <c r="F8" s="267">
        <f>'1-BS_CN'!F8</f>
        <v>0</v>
      </c>
    </row>
    <row r="9" spans="1:6" s="72" customFormat="1" ht="30.75" customHeight="1">
      <c r="A9" s="427" t="s">
        <v>342</v>
      </c>
      <c r="B9" s="266">
        <f>'1-BS_CN'!B9</f>
        <v>0</v>
      </c>
      <c r="C9" s="266">
        <f>'1-BS_CN'!C9</f>
        <v>0</v>
      </c>
      <c r="D9" s="418" t="s">
        <v>336</v>
      </c>
      <c r="E9" s="266">
        <f>'1-BS_CN'!E9</f>
        <v>0</v>
      </c>
      <c r="F9" s="267">
        <f>'1-BS_CN'!F9</f>
        <v>0</v>
      </c>
    </row>
    <row r="10" spans="1:6" s="72" customFormat="1" ht="30.75" customHeight="1">
      <c r="A10" s="428" t="s">
        <v>554</v>
      </c>
      <c r="B10" s="266">
        <f>'1-BS_CN'!B10</f>
        <v>0</v>
      </c>
      <c r="C10" s="266">
        <f>'1-BS_CN'!C10</f>
        <v>0</v>
      </c>
      <c r="D10" s="439" t="s">
        <v>556</v>
      </c>
      <c r="E10" s="266">
        <f>'1-BS_CN'!E10</f>
        <v>0</v>
      </c>
      <c r="F10" s="267">
        <f>'1-BS_CN'!F10</f>
        <v>0</v>
      </c>
    </row>
    <row r="11" spans="1:6" s="72" customFormat="1" ht="30.75" customHeight="1">
      <c r="A11" s="428" t="s">
        <v>555</v>
      </c>
      <c r="B11" s="266">
        <f>'1-BS_CN'!B11</f>
        <v>0</v>
      </c>
      <c r="C11" s="266">
        <f>'1-BS_CN'!C11</f>
        <v>0</v>
      </c>
      <c r="D11" s="439" t="s">
        <v>557</v>
      </c>
      <c r="E11" s="266">
        <f>'1-BS_CN'!E11</f>
        <v>0</v>
      </c>
      <c r="F11" s="267">
        <f>'1-BS_CN'!F11</f>
        <v>0</v>
      </c>
    </row>
    <row r="12" spans="1:6" s="72" customFormat="1" ht="30.75" customHeight="1">
      <c r="A12" s="428" t="s">
        <v>613</v>
      </c>
      <c r="B12" s="266">
        <f>'1-BS_CN'!B12</f>
        <v>0</v>
      </c>
      <c r="C12" s="266">
        <f>'1-BS_CN'!C12</f>
        <v>0</v>
      </c>
      <c r="D12" s="439" t="s">
        <v>672</v>
      </c>
      <c r="E12" s="266">
        <f>'1-BS_CN'!E12</f>
        <v>0</v>
      </c>
      <c r="F12" s="267">
        <f>'1-BS_CN'!F12</f>
        <v>0</v>
      </c>
    </row>
    <row r="13" spans="1:6" s="72" customFormat="1" ht="30.75" customHeight="1">
      <c r="A13" s="428" t="s">
        <v>670</v>
      </c>
      <c r="B13" s="266">
        <f>'1-BS_CN'!B13</f>
        <v>0</v>
      </c>
      <c r="C13" s="266">
        <f>'1-BS_CN'!C13</f>
        <v>0</v>
      </c>
      <c r="D13" s="439" t="s">
        <v>618</v>
      </c>
      <c r="E13" s="266">
        <f>'1-BS_CN'!E13</f>
        <v>0</v>
      </c>
      <c r="F13" s="267">
        <f>'1-BS_CN'!F13</f>
        <v>0</v>
      </c>
    </row>
    <row r="14" spans="1:6" s="72" customFormat="1" ht="30.75" customHeight="1">
      <c r="A14" s="428" t="s">
        <v>337</v>
      </c>
      <c r="B14" s="266">
        <f>'1-BS_CN'!B14</f>
        <v>0</v>
      </c>
      <c r="C14" s="266">
        <f>'1-BS_CN'!C14</f>
        <v>0</v>
      </c>
      <c r="D14" s="418" t="s">
        <v>5</v>
      </c>
      <c r="E14" s="266">
        <f>'1-BS_CN'!E14</f>
        <v>0</v>
      </c>
      <c r="F14" s="267">
        <f>'1-BS_CN'!F14</f>
        <v>0</v>
      </c>
    </row>
    <row r="15" spans="1:6" s="72" customFormat="1" ht="30.75" customHeight="1">
      <c r="A15" s="427" t="s">
        <v>338</v>
      </c>
      <c r="B15" s="266">
        <f>'1-BS_CN'!B15</f>
        <v>0</v>
      </c>
      <c r="C15" s="266">
        <f>'1-BS_CN'!C15</f>
        <v>0</v>
      </c>
      <c r="D15" s="418" t="s">
        <v>219</v>
      </c>
      <c r="E15" s="266">
        <f>'1-BS_CN'!E15</f>
        <v>0</v>
      </c>
      <c r="F15" s="267">
        <f>'1-BS_CN'!F15</f>
        <v>0</v>
      </c>
    </row>
    <row r="16" spans="1:6" s="72" customFormat="1" ht="30.75" customHeight="1">
      <c r="A16" s="427" t="s">
        <v>614</v>
      </c>
      <c r="B16" s="266">
        <f>'1-BS_CN'!B16</f>
        <v>0</v>
      </c>
      <c r="C16" s="266">
        <f>'1-BS_CN'!C16</f>
        <v>0</v>
      </c>
      <c r="D16" s="418" t="s">
        <v>343</v>
      </c>
      <c r="E16" s="266">
        <f>'1-BS_CN'!E16</f>
        <v>0</v>
      </c>
      <c r="F16" s="267">
        <f>'1-BS_CN'!F16</f>
        <v>0</v>
      </c>
    </row>
    <row r="17" spans="1:6" s="72" customFormat="1" ht="30.75" customHeight="1">
      <c r="A17" s="427" t="s">
        <v>563</v>
      </c>
      <c r="B17" s="266">
        <f>'1-BS_CN'!B17</f>
        <v>0</v>
      </c>
      <c r="C17" s="266">
        <f>'1-BS_CN'!C17</f>
        <v>0</v>
      </c>
      <c r="D17" s="418" t="s">
        <v>564</v>
      </c>
      <c r="E17" s="266">
        <f>'1-BS_CN'!E17</f>
        <v>0</v>
      </c>
      <c r="F17" s="267">
        <f>'1-BS_CN'!F17</f>
        <v>0</v>
      </c>
    </row>
    <row r="18" spans="1:6" s="72" customFormat="1" ht="30.75" customHeight="1">
      <c r="A18" s="429" t="s">
        <v>189</v>
      </c>
      <c r="B18" s="266">
        <f>'1-BS_CN'!B18</f>
        <v>0</v>
      </c>
      <c r="C18" s="266">
        <f>'1-BS_CN'!C18</f>
        <v>0</v>
      </c>
      <c r="D18" s="418" t="s">
        <v>7</v>
      </c>
      <c r="E18" s="266">
        <f>'1-BS_CN'!E18</f>
        <v>0</v>
      </c>
      <c r="F18" s="267">
        <f>'1-BS_CN'!F18</f>
        <v>0</v>
      </c>
    </row>
    <row r="19" spans="1:6" s="72" customFormat="1" ht="30.75" customHeight="1">
      <c r="A19" s="427" t="s">
        <v>6</v>
      </c>
      <c r="B19" s="266">
        <f>'1-BS_CN'!B19</f>
        <v>0</v>
      </c>
      <c r="C19" s="266">
        <f>'1-BS_CN'!C19</f>
        <v>0</v>
      </c>
      <c r="D19" s="418" t="s">
        <v>8</v>
      </c>
      <c r="E19" s="266">
        <f>'1-BS_CN'!E19</f>
        <v>0</v>
      </c>
      <c r="F19" s="267">
        <f>'1-BS_CN'!F19</f>
        <v>0</v>
      </c>
    </row>
    <row r="20" spans="1:6" s="72" customFormat="1" ht="30.75" customHeight="1">
      <c r="A20" s="134" t="s">
        <v>190</v>
      </c>
      <c r="B20" s="270">
        <f>SUM(B7:B19)</f>
        <v>0</v>
      </c>
      <c r="C20" s="270">
        <f>SUM(C7:C19)</f>
        <v>0</v>
      </c>
      <c r="D20" s="440" t="s">
        <v>191</v>
      </c>
      <c r="E20" s="270">
        <f>SUM(E7:E19)</f>
        <v>0</v>
      </c>
      <c r="F20" s="312">
        <f>SUM(F7:F19)</f>
        <v>0</v>
      </c>
    </row>
    <row r="21" spans="1:6" s="72" customFormat="1" ht="30.75" customHeight="1">
      <c r="A21" s="430" t="s">
        <v>558</v>
      </c>
      <c r="B21" s="171" t="str">
        <f>'1-BS_CN'!B21</f>
        <v>——</v>
      </c>
      <c r="C21" s="171" t="str">
        <f>'1-BS_CN'!C21</f>
        <v>——</v>
      </c>
      <c r="D21" s="441" t="s">
        <v>565</v>
      </c>
      <c r="E21" s="171" t="str">
        <f>'1-BS_CN'!E21</f>
        <v>——</v>
      </c>
      <c r="F21" s="180" t="str">
        <f>'1-BS_CN'!F21</f>
        <v>——</v>
      </c>
    </row>
    <row r="22" spans="1:6" s="72" customFormat="1" ht="30.75" customHeight="1">
      <c r="A22" s="427" t="s">
        <v>619</v>
      </c>
      <c r="B22" s="266">
        <f>'1-BS_CN'!B22</f>
        <v>0</v>
      </c>
      <c r="C22" s="266">
        <f>'1-BS_CN'!C22</f>
        <v>0</v>
      </c>
      <c r="D22" s="418" t="s">
        <v>673</v>
      </c>
      <c r="E22" s="266">
        <f>'1-BS_CN'!E22</f>
        <v>0</v>
      </c>
      <c r="F22" s="267">
        <f>'1-BS_CN'!F22</f>
        <v>0</v>
      </c>
    </row>
    <row r="23" spans="1:6" s="72" customFormat="1" ht="30.75" customHeight="1">
      <c r="A23" s="427" t="s">
        <v>620</v>
      </c>
      <c r="B23" s="266">
        <f>'1-BS_CN'!B23</f>
        <v>0</v>
      </c>
      <c r="C23" s="266">
        <f>'1-BS_CN'!C23</f>
        <v>0</v>
      </c>
      <c r="D23" s="418" t="s">
        <v>202</v>
      </c>
      <c r="E23" s="266">
        <f>'1-BS_CN'!E23</f>
        <v>0</v>
      </c>
      <c r="F23" s="267">
        <f>'1-BS_CN'!F23</f>
        <v>0</v>
      </c>
    </row>
    <row r="24" spans="1:6" s="72" customFormat="1" ht="30.75" customHeight="1">
      <c r="A24" s="427" t="s">
        <v>197</v>
      </c>
      <c r="B24" s="266">
        <f>'1-BS_CN'!B24</f>
        <v>0</v>
      </c>
      <c r="C24" s="266">
        <f>'1-BS_CN'!C24</f>
        <v>0</v>
      </c>
      <c r="D24" s="418" t="s">
        <v>566</v>
      </c>
      <c r="E24" s="266">
        <f>'1-BS_CN'!E24</f>
        <v>0</v>
      </c>
      <c r="F24" s="267">
        <f>'1-BS_CN'!F24</f>
        <v>0</v>
      </c>
    </row>
    <row r="25" spans="1:6" s="72" customFormat="1" ht="30.75" customHeight="1">
      <c r="A25" s="427" t="s">
        <v>198</v>
      </c>
      <c r="B25" s="266">
        <f>'1-BS_CN'!B25</f>
        <v>0</v>
      </c>
      <c r="C25" s="266">
        <f>'1-BS_CN'!C25</f>
        <v>0</v>
      </c>
      <c r="D25" s="418" t="s">
        <v>344</v>
      </c>
      <c r="E25" s="266">
        <f>'1-BS_CN'!E25</f>
        <v>0</v>
      </c>
      <c r="F25" s="267">
        <f>'1-BS_CN'!F25</f>
        <v>0</v>
      </c>
    </row>
    <row r="26" spans="1:6" s="72" customFormat="1" ht="30.75" customHeight="1">
      <c r="A26" s="427" t="s">
        <v>615</v>
      </c>
      <c r="B26" s="266">
        <f>'1-BS_CN'!B26</f>
        <v>0</v>
      </c>
      <c r="C26" s="266">
        <f>'1-BS_CN'!C26</f>
        <v>0</v>
      </c>
      <c r="D26" s="418" t="s">
        <v>621</v>
      </c>
      <c r="E26" s="266">
        <f>'1-BS_CN'!E26</f>
        <v>0</v>
      </c>
      <c r="F26" s="267">
        <f>'1-BS_CN'!F26</f>
        <v>0</v>
      </c>
    </row>
    <row r="27" spans="1:6" s="72" customFormat="1" ht="30.75" customHeight="1">
      <c r="A27" s="427" t="s">
        <v>616</v>
      </c>
      <c r="B27" s="266">
        <f>'1-BS_CN'!B27</f>
        <v>0</v>
      </c>
      <c r="C27" s="266">
        <f>'1-BS_CN'!C27</f>
        <v>0</v>
      </c>
      <c r="D27" s="418" t="s">
        <v>10</v>
      </c>
      <c r="E27" s="266">
        <f>'1-BS_CN'!E27</f>
        <v>0</v>
      </c>
      <c r="F27" s="267">
        <f>'1-BS_CN'!F27</f>
        <v>0</v>
      </c>
    </row>
    <row r="28" spans="1:6" s="72" customFormat="1" ht="30.75" customHeight="1">
      <c r="A28" s="427" t="s">
        <v>199</v>
      </c>
      <c r="B28" s="266">
        <f>'1-BS_CN'!B28</f>
        <v>0</v>
      </c>
      <c r="C28" s="266">
        <f>'1-BS_CN'!C28</f>
        <v>0</v>
      </c>
      <c r="D28" s="418" t="s">
        <v>203</v>
      </c>
      <c r="E28" s="266">
        <f>'1-BS_CN'!E28</f>
        <v>0</v>
      </c>
      <c r="F28" s="267">
        <f>'1-BS_CN'!F28</f>
        <v>0</v>
      </c>
    </row>
    <row r="29" spans="1:6" s="72" customFormat="1" ht="30.75" customHeight="1">
      <c r="A29" s="427" t="s">
        <v>200</v>
      </c>
      <c r="B29" s="266">
        <f>'1-BS_CN'!B29</f>
        <v>0</v>
      </c>
      <c r="C29" s="266">
        <f>'1-BS_CN'!C29</f>
        <v>0</v>
      </c>
      <c r="D29" s="418" t="s">
        <v>204</v>
      </c>
      <c r="E29" s="266">
        <f>'1-BS_CN'!E29</f>
        <v>0</v>
      </c>
      <c r="F29" s="267">
        <f>'1-BS_CN'!F29</f>
        <v>0</v>
      </c>
    </row>
    <row r="30" spans="1:6" s="72" customFormat="1" ht="30.75" customHeight="1">
      <c r="A30" s="427" t="s">
        <v>201</v>
      </c>
      <c r="B30" s="266">
        <f>'1-BS_CN'!B30</f>
        <v>0</v>
      </c>
      <c r="C30" s="266">
        <f>'1-BS_CN'!C30</f>
        <v>0</v>
      </c>
      <c r="D30" s="418" t="s">
        <v>567</v>
      </c>
      <c r="E30" s="266">
        <f>'1-BS_CN'!E30</f>
        <v>0</v>
      </c>
      <c r="F30" s="267">
        <f>'1-BS_CN'!F30</f>
        <v>0</v>
      </c>
    </row>
    <row r="31" spans="1:6" s="72" customFormat="1" ht="30.75" customHeight="1">
      <c r="A31" s="427" t="s">
        <v>341</v>
      </c>
      <c r="B31" s="266">
        <f>'1-BS_CN'!B31</f>
        <v>0</v>
      </c>
      <c r="C31" s="266">
        <f>'1-BS_CN'!C31</f>
        <v>0</v>
      </c>
      <c r="D31" s="418" t="s">
        <v>11</v>
      </c>
      <c r="E31" s="266">
        <f>'1-BS_CN'!E31</f>
        <v>0</v>
      </c>
      <c r="F31" s="267">
        <f>'1-BS_CN'!F31</f>
        <v>0</v>
      </c>
    </row>
    <row r="32" spans="1:6" s="72" customFormat="1" ht="30.75" customHeight="1">
      <c r="A32" s="427" t="s">
        <v>340</v>
      </c>
      <c r="B32" s="266">
        <f>'1-BS_CN'!B32</f>
        <v>0</v>
      </c>
      <c r="C32" s="266">
        <f>'1-BS_CN'!C32</f>
        <v>0</v>
      </c>
      <c r="D32" s="440" t="s">
        <v>210</v>
      </c>
      <c r="E32" s="270">
        <f>SUM(E22:E31)-E24-E25</f>
        <v>0</v>
      </c>
      <c r="F32" s="312">
        <f>SUM(F22:F31)-F24-F25</f>
        <v>0</v>
      </c>
    </row>
    <row r="33" spans="1:6" s="72" customFormat="1" ht="30.75" customHeight="1">
      <c r="A33" s="427" t="s">
        <v>617</v>
      </c>
      <c r="B33" s="266">
        <f>'1-BS_CN'!B33</f>
        <v>0</v>
      </c>
      <c r="C33" s="266">
        <f>'1-BS_CN'!C33</f>
        <v>0</v>
      </c>
      <c r="D33" s="442" t="s">
        <v>12</v>
      </c>
      <c r="E33" s="270">
        <f>E20+E32</f>
        <v>0</v>
      </c>
      <c r="F33" s="312">
        <f>F20+F32</f>
        <v>0</v>
      </c>
    </row>
    <row r="34" spans="1:6" s="72" customFormat="1" ht="30.75" customHeight="1">
      <c r="A34" s="428" t="s">
        <v>213</v>
      </c>
      <c r="B34" s="266">
        <f>'1-BS_CN'!B34</f>
        <v>0</v>
      </c>
      <c r="C34" s="266">
        <f>'1-BS_CN'!C34</f>
        <v>0</v>
      </c>
      <c r="D34" s="441" t="s">
        <v>568</v>
      </c>
      <c r="E34" s="171" t="str">
        <f>'1-BS_CN'!E34</f>
        <v>——</v>
      </c>
      <c r="F34" s="180" t="str">
        <f>'1-BS_CN'!F34</f>
        <v>——</v>
      </c>
    </row>
    <row r="35" spans="1:6" s="72" customFormat="1" ht="30.75" customHeight="1">
      <c r="A35" s="427" t="s">
        <v>214</v>
      </c>
      <c r="B35" s="266">
        <f>'1-BS_CN'!B35</f>
        <v>0</v>
      </c>
      <c r="C35" s="266">
        <f>'1-BS_CN'!C35</f>
        <v>0</v>
      </c>
      <c r="D35" s="418" t="s">
        <v>569</v>
      </c>
      <c r="E35" s="266">
        <f>'1-BS_CN'!E35</f>
        <v>0</v>
      </c>
      <c r="F35" s="267">
        <f>'1-BS_CN'!F35</f>
        <v>0</v>
      </c>
    </row>
    <row r="36" spans="1:6" s="72" customFormat="1" ht="30.75" customHeight="1">
      <c r="A36" s="428" t="s">
        <v>215</v>
      </c>
      <c r="B36" s="266">
        <f>'1-BS_CN'!B36</f>
        <v>0</v>
      </c>
      <c r="C36" s="266">
        <f>'1-BS_CN'!C36</f>
        <v>0</v>
      </c>
      <c r="D36" s="418" t="s">
        <v>339</v>
      </c>
      <c r="E36" s="266">
        <f>'1-BS_CN'!E36</f>
        <v>0</v>
      </c>
      <c r="F36" s="267">
        <f>'1-BS_CN'!F36</f>
        <v>0</v>
      </c>
    </row>
    <row r="37" spans="1:6" s="72" customFormat="1" ht="30.75" customHeight="1">
      <c r="A37" s="428" t="s">
        <v>216</v>
      </c>
      <c r="B37" s="266">
        <f>'1-BS_CN'!B37</f>
        <v>0</v>
      </c>
      <c r="C37" s="266">
        <f>'1-BS_CN'!C37</f>
        <v>0</v>
      </c>
      <c r="D37" s="418" t="s">
        <v>570</v>
      </c>
      <c r="E37" s="266">
        <f>'1-BS_CN'!E37</f>
        <v>0</v>
      </c>
      <c r="F37" s="267">
        <f>'1-BS_CN'!F37</f>
        <v>0</v>
      </c>
    </row>
    <row r="38" spans="1:6" s="72" customFormat="1" ht="30.75" customHeight="1">
      <c r="A38" s="427" t="s">
        <v>559</v>
      </c>
      <c r="B38" s="266">
        <f>'1-BS_CN'!B38</f>
        <v>0</v>
      </c>
      <c r="C38" s="266">
        <f>'1-BS_CN'!C38</f>
        <v>0</v>
      </c>
      <c r="D38" s="418" t="s">
        <v>347</v>
      </c>
      <c r="E38" s="266">
        <f>'1-BS_CN'!E38</f>
        <v>0</v>
      </c>
      <c r="F38" s="267">
        <f>'1-BS_CN'!F38</f>
        <v>0</v>
      </c>
    </row>
    <row r="39" spans="1:6" s="72" customFormat="1" ht="30.75" customHeight="1">
      <c r="A39" s="428" t="s">
        <v>211</v>
      </c>
      <c r="B39" s="266">
        <f>'1-BS_CN'!B39</f>
        <v>0</v>
      </c>
      <c r="C39" s="266">
        <f>'1-BS_CN'!C39</f>
        <v>0</v>
      </c>
      <c r="D39" s="418" t="s">
        <v>171</v>
      </c>
      <c r="E39" s="266">
        <f>'1-BS_CN'!E39</f>
        <v>0</v>
      </c>
      <c r="F39" s="267">
        <f>'1-BS_CN'!F39</f>
        <v>0</v>
      </c>
    </row>
    <row r="40" spans="1:6" s="72" customFormat="1" ht="30.75" customHeight="1">
      <c r="A40" s="134" t="s">
        <v>217</v>
      </c>
      <c r="B40" s="270">
        <f>SUM(B22:B39)</f>
        <v>0</v>
      </c>
      <c r="C40" s="270">
        <f>SUM(C22:C39)</f>
        <v>0</v>
      </c>
      <c r="D40" s="443" t="s">
        <v>571</v>
      </c>
      <c r="E40" s="266">
        <f>'1-BS_CN'!E40</f>
        <v>0</v>
      </c>
      <c r="F40" s="267">
        <f>'1-BS_CN'!F40</f>
        <v>0</v>
      </c>
    </row>
    <row r="41" spans="1:6" s="72" customFormat="1" ht="30.75" customHeight="1">
      <c r="A41" s="427"/>
      <c r="B41" s="110"/>
      <c r="C41" s="110"/>
      <c r="D41" s="418" t="s">
        <v>356</v>
      </c>
      <c r="E41" s="266">
        <f>'1-BS_CN'!E41</f>
        <v>0</v>
      </c>
      <c r="F41" s="267">
        <f>'1-BS_CN'!F41</f>
        <v>0</v>
      </c>
    </row>
    <row r="42" spans="1:6" s="72" customFormat="1" ht="30.75" customHeight="1">
      <c r="A42" s="428"/>
      <c r="B42" s="110"/>
      <c r="C42" s="110"/>
      <c r="D42" s="418" t="s">
        <v>622</v>
      </c>
      <c r="E42" s="266">
        <f>'1-BS_CN'!E42</f>
        <v>0</v>
      </c>
      <c r="F42" s="267">
        <f>'1-BS_CN'!F42</f>
        <v>0</v>
      </c>
    </row>
    <row r="43" spans="1:6" s="72" customFormat="1" ht="30.75" customHeight="1">
      <c r="A43" s="134"/>
      <c r="B43" s="110"/>
      <c r="C43" s="110"/>
      <c r="D43" s="418" t="s">
        <v>212</v>
      </c>
      <c r="E43" s="266">
        <f>'1-BS_CN'!E43</f>
        <v>0</v>
      </c>
      <c r="F43" s="267">
        <f>'1-BS_CN'!F43</f>
        <v>0</v>
      </c>
    </row>
    <row r="44" spans="1:6" s="72" customFormat="1" ht="30.75" customHeight="1">
      <c r="A44" s="431"/>
      <c r="B44" s="110"/>
      <c r="C44" s="110"/>
      <c r="D44" s="418" t="s">
        <v>573</v>
      </c>
      <c r="E44" s="266">
        <f>'1-BS_CN'!E44</f>
        <v>0</v>
      </c>
      <c r="F44" s="267">
        <f>'1-BS_CN'!F44</f>
        <v>0</v>
      </c>
    </row>
    <row r="45" spans="1:6" s="72" customFormat="1" ht="30.75" customHeight="1">
      <c r="A45" s="135"/>
      <c r="B45" s="110"/>
      <c r="C45" s="110"/>
      <c r="D45" s="444" t="s">
        <v>572</v>
      </c>
      <c r="E45" s="270">
        <f>E35+E36+E39-E40+E41+E42+E43+E44</f>
        <v>0</v>
      </c>
      <c r="F45" s="312">
        <f>F35+F36+F39-F40+F41+F42+F43+F44</f>
        <v>0</v>
      </c>
    </row>
    <row r="46" spans="1:6" s="72" customFormat="1" ht="30.75" customHeight="1" thickBot="1">
      <c r="A46" s="432" t="s">
        <v>13</v>
      </c>
      <c r="B46" s="309">
        <f>B20+B40</f>
        <v>0</v>
      </c>
      <c r="C46" s="309">
        <f>C20+C40</f>
        <v>0</v>
      </c>
      <c r="D46" s="445" t="s">
        <v>14</v>
      </c>
      <c r="E46" s="310">
        <f>E33+E45</f>
        <v>0</v>
      </c>
      <c r="F46" s="311">
        <f>F33+F45</f>
        <v>0</v>
      </c>
    </row>
    <row r="47" spans="1:6" s="72" customFormat="1" ht="6" customHeight="1">
      <c r="A47" s="433"/>
      <c r="B47" s="75"/>
      <c r="C47" s="75"/>
      <c r="D47" s="433"/>
    </row>
    <row r="48" spans="1:6" s="72" customFormat="1" ht="32.25" customHeight="1">
      <c r="A48" s="236" t="s">
        <v>541</v>
      </c>
      <c r="B48" s="66"/>
      <c r="C48" s="66"/>
      <c r="D48" s="236" t="s">
        <v>623</v>
      </c>
      <c r="E48" s="66"/>
      <c r="F48" s="66"/>
    </row>
    <row r="49" spans="1:6" s="73" customFormat="1" ht="14">
      <c r="A49" s="434"/>
      <c r="B49" s="69"/>
      <c r="C49" s="69"/>
      <c r="D49" s="435"/>
      <c r="E49" s="77"/>
      <c r="F49" s="71"/>
    </row>
    <row r="50" spans="1:6" s="73" customFormat="1" ht="13">
      <c r="A50" s="435"/>
      <c r="B50" s="69"/>
      <c r="C50" s="69"/>
      <c r="D50" s="435"/>
      <c r="E50" s="69"/>
      <c r="F50" s="69"/>
    </row>
    <row r="51" spans="1:6" ht="28.5" customHeight="1">
      <c r="D51" s="446" t="s">
        <v>218</v>
      </c>
      <c r="E51" s="95">
        <f>B46-E46</f>
        <v>0</v>
      </c>
      <c r="F51" s="95">
        <f>F46-C46</f>
        <v>0</v>
      </c>
    </row>
    <row r="52" spans="1:6" s="299" customFormat="1" ht="27" customHeight="1">
      <c r="A52" s="240"/>
      <c r="B52" s="300">
        <f>B46-'1-BS_CN'!B46</f>
        <v>0</v>
      </c>
      <c r="C52" s="300">
        <f>C46-'1-BS_CN'!C46</f>
        <v>0</v>
      </c>
      <c r="D52" s="240"/>
      <c r="E52" s="300">
        <f>E46-'1-BS_CN'!E46</f>
        <v>0</v>
      </c>
      <c r="F52" s="300">
        <f>F46-'1-BS_CN'!F46</f>
        <v>0</v>
      </c>
    </row>
    <row r="58" spans="1:6" ht="15.65" customHeight="1">
      <c r="A58" s="436"/>
    </row>
  </sheetData>
  <mergeCells count="5">
    <mergeCell ref="A1:F1"/>
    <mergeCell ref="A3:F3"/>
    <mergeCell ref="A4:B4"/>
    <mergeCell ref="C4:D4"/>
    <mergeCell ref="A2:F2"/>
  </mergeCells>
  <phoneticPr fontId="14" type="noConversion"/>
  <printOptions horizontalCentered="1" verticalCentered="1"/>
  <pageMargins left="0.98425196850393704" right="0.78740157480314965" top="0.39370078740157483" bottom="0.27559055118110237" header="0.31496062992125984" footer="0.19685039370078741"/>
  <pageSetup paperSize="9" scale="51" orientation="portrait" blackAndWhite="1" verticalDpi="1200" r:id="rId1"/>
  <colBreaks count="1" manualBreakCount="1">
    <brk id="6"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C36"/>
  <sheetViews>
    <sheetView view="pageBreakPreview" zoomScale="80" zoomScaleNormal="86" zoomScaleSheetLayoutView="80" workbookViewId="0">
      <selection activeCell="A11" sqref="A11"/>
    </sheetView>
  </sheetViews>
  <sheetFormatPr defaultColWidth="8.58203125" defaultRowHeight="15"/>
  <cols>
    <col min="1" max="1" width="90.25" style="55" customWidth="1"/>
    <col min="2" max="3" width="23.08203125" style="93" customWidth="1"/>
    <col min="4" max="24" width="9" style="55" bestFit="1" customWidth="1"/>
    <col min="25" max="16384" width="8.58203125" style="55"/>
  </cols>
  <sheetData>
    <row r="1" spans="1:3" ht="30" customHeight="1">
      <c r="A1" s="456" t="str">
        <f>Basic!B1</f>
        <v>***公司</v>
      </c>
      <c r="B1" s="456"/>
      <c r="C1" s="456"/>
    </row>
    <row r="2" spans="1:3" ht="30" customHeight="1">
      <c r="A2" s="456" t="s">
        <v>36</v>
      </c>
      <c r="B2" s="456"/>
      <c r="C2" s="456"/>
    </row>
    <row r="3" spans="1:3" ht="25.5" customHeight="1">
      <c r="A3" s="457" t="str">
        <f>Basic!B3</f>
        <v>2022年度</v>
      </c>
      <c r="B3" s="457"/>
      <c r="C3" s="457"/>
    </row>
    <row r="4" spans="1:3" ht="25.15" customHeight="1" thickBot="1">
      <c r="A4" s="46"/>
      <c r="B4" s="160"/>
      <c r="C4" s="93" t="s">
        <v>23</v>
      </c>
    </row>
    <row r="5" spans="1:3" ht="31.5" customHeight="1">
      <c r="A5" s="175" t="s">
        <v>24</v>
      </c>
      <c r="B5" s="176" t="s">
        <v>693</v>
      </c>
      <c r="C5" s="177" t="s">
        <v>694</v>
      </c>
    </row>
    <row r="6" spans="1:3" ht="31.5" customHeight="1">
      <c r="A6" s="112" t="s">
        <v>242</v>
      </c>
      <c r="B6" s="126"/>
      <c r="C6" s="192"/>
    </row>
    <row r="7" spans="1:3" ht="31.5" customHeight="1">
      <c r="A7" s="111" t="s">
        <v>624</v>
      </c>
      <c r="B7" s="127"/>
      <c r="C7" s="128"/>
    </row>
    <row r="8" spans="1:3" ht="31.5" customHeight="1">
      <c r="A8" s="111" t="s">
        <v>243</v>
      </c>
      <c r="B8" s="127"/>
      <c r="C8" s="128"/>
    </row>
    <row r="9" spans="1:3" ht="31.5" customHeight="1">
      <c r="A9" s="111" t="s">
        <v>244</v>
      </c>
      <c r="B9" s="127"/>
      <c r="C9" s="128"/>
    </row>
    <row r="10" spans="1:3" ht="31.5" customHeight="1">
      <c r="A10" s="111" t="s">
        <v>245</v>
      </c>
      <c r="B10" s="127"/>
      <c r="C10" s="128"/>
    </row>
    <row r="11" spans="1:3" ht="31.5" customHeight="1">
      <c r="A11" s="111" t="s">
        <v>309</v>
      </c>
      <c r="B11" s="127"/>
      <c r="C11" s="128"/>
    </row>
    <row r="12" spans="1:3" ht="31.5" customHeight="1">
      <c r="A12" s="111" t="s">
        <v>246</v>
      </c>
      <c r="B12" s="129"/>
      <c r="C12" s="128"/>
    </row>
    <row r="13" spans="1:3" ht="31.5" customHeight="1">
      <c r="A13" s="158" t="s">
        <v>276</v>
      </c>
      <c r="B13" s="129"/>
      <c r="C13" s="128"/>
    </row>
    <row r="14" spans="1:3" ht="31.5" customHeight="1">
      <c r="A14" s="158" t="s">
        <v>277</v>
      </c>
      <c r="B14" s="129"/>
      <c r="C14" s="128"/>
    </row>
    <row r="15" spans="1:3" ht="31.5" customHeight="1">
      <c r="A15" s="111" t="s">
        <v>625</v>
      </c>
      <c r="B15" s="127"/>
      <c r="C15" s="128"/>
    </row>
    <row r="16" spans="1:3" ht="31.5" customHeight="1">
      <c r="A16" s="164" t="s">
        <v>626</v>
      </c>
      <c r="B16" s="127"/>
      <c r="C16" s="128"/>
    </row>
    <row r="17" spans="1:3" ht="31.5" customHeight="1">
      <c r="A17" s="165" t="s">
        <v>627</v>
      </c>
      <c r="B17" s="129"/>
      <c r="C17" s="128"/>
    </row>
    <row r="18" spans="1:3" ht="31.5" customHeight="1">
      <c r="A18" s="396" t="s">
        <v>628</v>
      </c>
      <c r="B18" s="129"/>
      <c r="C18" s="128"/>
    </row>
    <row r="19" spans="1:3" ht="31.5" customHeight="1">
      <c r="A19" s="397" t="s">
        <v>632</v>
      </c>
      <c r="B19" s="129"/>
      <c r="C19" s="128"/>
    </row>
    <row r="20" spans="1:3" ht="31.5" customHeight="1">
      <c r="A20" s="111" t="s">
        <v>633</v>
      </c>
      <c r="B20" s="129"/>
      <c r="C20" s="128"/>
    </row>
    <row r="21" spans="1:3" ht="31.5" customHeight="1">
      <c r="A21" s="395" t="s">
        <v>630</v>
      </c>
      <c r="B21" s="129"/>
      <c r="C21" s="128"/>
    </row>
    <row r="22" spans="1:3" ht="31.5" customHeight="1">
      <c r="A22" s="397" t="s">
        <v>631</v>
      </c>
      <c r="B22" s="129"/>
      <c r="C22" s="128"/>
    </row>
    <row r="23" spans="1:3" ht="31.5" customHeight="1">
      <c r="A23" s="182" t="s">
        <v>629</v>
      </c>
      <c r="B23" s="129"/>
      <c r="C23" s="128"/>
    </row>
    <row r="24" spans="1:3" ht="31.5" customHeight="1">
      <c r="A24" s="264" t="s">
        <v>247</v>
      </c>
      <c r="B24" s="269">
        <f>B6-B7-B8-B9-B10-B11-B12+B15+B16+B19+B20+B21+B22+B23</f>
        <v>0</v>
      </c>
      <c r="C24" s="323">
        <f>C6-C7-C8-C9-C10-C11-C12+C15+C16+C19+C20+C21+C22+C23</f>
        <v>0</v>
      </c>
    </row>
    <row r="25" spans="1:3" ht="31.5" customHeight="1">
      <c r="A25" s="166" t="s">
        <v>37</v>
      </c>
      <c r="B25" s="129"/>
      <c r="C25" s="128"/>
    </row>
    <row r="26" spans="1:3" ht="31.5" customHeight="1">
      <c r="A26" s="166" t="s">
        <v>38</v>
      </c>
      <c r="B26" s="110"/>
      <c r="C26" s="128"/>
    </row>
    <row r="27" spans="1:3" ht="31.5" customHeight="1">
      <c r="A27" s="265" t="s">
        <v>248</v>
      </c>
      <c r="B27" s="270">
        <f>B24+B25-B26</f>
        <v>0</v>
      </c>
      <c r="C27" s="312">
        <f>C24+C25-C26</f>
        <v>0</v>
      </c>
    </row>
    <row r="28" spans="1:3" ht="31.5" customHeight="1">
      <c r="A28" s="166" t="s">
        <v>39</v>
      </c>
      <c r="B28" s="110"/>
      <c r="C28" s="128"/>
    </row>
    <row r="29" spans="1:3" ht="31.5" customHeight="1">
      <c r="A29" s="268" t="s">
        <v>249</v>
      </c>
      <c r="B29" s="271">
        <f>B27-B28</f>
        <v>0</v>
      </c>
      <c r="C29" s="398">
        <f>C27-C28</f>
        <v>0</v>
      </c>
    </row>
    <row r="30" spans="1:3" ht="31.5" customHeight="1">
      <c r="A30" s="167" t="s">
        <v>310</v>
      </c>
      <c r="B30" s="159"/>
      <c r="C30" s="168"/>
    </row>
    <row r="31" spans="1:3" ht="31.5" customHeight="1">
      <c r="A31" s="167" t="s">
        <v>250</v>
      </c>
      <c r="B31" s="159"/>
      <c r="C31" s="168"/>
    </row>
    <row r="32" spans="1:3" ht="31.5" customHeight="1">
      <c r="A32" s="268" t="s">
        <v>251</v>
      </c>
      <c r="B32" s="271">
        <f>SUM(B33:B34)</f>
        <v>0</v>
      </c>
      <c r="C32" s="315">
        <f>SUM(C33:C34)</f>
        <v>0</v>
      </c>
    </row>
    <row r="33" spans="1:3" ht="31.5" customHeight="1">
      <c r="A33" s="167" t="s">
        <v>311</v>
      </c>
      <c r="B33" s="159"/>
      <c r="C33" s="168"/>
    </row>
    <row r="34" spans="1:3" ht="31.5" customHeight="1">
      <c r="A34" s="167" t="s">
        <v>312</v>
      </c>
      <c r="B34" s="159"/>
      <c r="C34" s="128"/>
    </row>
    <row r="35" spans="1:3" ht="31.5" customHeight="1" thickBot="1">
      <c r="A35" s="272" t="s">
        <v>252</v>
      </c>
      <c r="B35" s="273">
        <f>B29+B32</f>
        <v>0</v>
      </c>
      <c r="C35" s="274">
        <f>C29+C32</f>
        <v>0</v>
      </c>
    </row>
    <row r="36" spans="1:3" ht="54.75" customHeight="1">
      <c r="A36" s="169" t="s">
        <v>512</v>
      </c>
      <c r="B36" s="169" t="s">
        <v>511</v>
      </c>
      <c r="C36" s="169"/>
    </row>
  </sheetData>
  <mergeCells count="3">
    <mergeCell ref="A1:C1"/>
    <mergeCell ref="A3:C3"/>
    <mergeCell ref="A2:C2"/>
  </mergeCells>
  <phoneticPr fontId="14" type="noConversion"/>
  <printOptions horizontalCentered="1"/>
  <pageMargins left="0.98425196850393704" right="0.78740157480314965" top="0.78740157480314965" bottom="0.59055118110236227" header="0.51181102362204722" footer="0.51181102362204722"/>
  <pageSetup paperSize="9" scale="57" orientation="portrait" blackAndWhite="1"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E38"/>
  <sheetViews>
    <sheetView view="pageBreakPreview" zoomScale="70" zoomScaleNormal="80" zoomScaleSheetLayoutView="70" workbookViewId="0">
      <selection activeCell="C10" sqref="C10"/>
    </sheetView>
  </sheetViews>
  <sheetFormatPr defaultColWidth="8.58203125" defaultRowHeight="15" customHeight="1"/>
  <cols>
    <col min="1" max="1" width="6.25" style="68" customWidth="1"/>
    <col min="2" max="2" width="8" style="68" customWidth="1"/>
    <col min="3" max="3" width="73.08203125" style="68" customWidth="1"/>
    <col min="4" max="5" width="27.25" style="69" customWidth="1"/>
    <col min="6" max="23" width="9" style="69" bestFit="1" customWidth="1"/>
    <col min="24" max="16384" width="8.58203125" style="69"/>
  </cols>
  <sheetData>
    <row r="1" spans="1:5" ht="41.25" customHeight="1">
      <c r="A1" s="458" t="str">
        <f>Basic!C1</f>
        <v>*****</v>
      </c>
      <c r="B1" s="458"/>
      <c r="C1" s="458"/>
      <c r="D1" s="458"/>
      <c r="E1" s="458"/>
    </row>
    <row r="2" spans="1:5" ht="41.25" customHeight="1">
      <c r="A2" s="458" t="s">
        <v>598</v>
      </c>
      <c r="B2" s="458"/>
      <c r="C2" s="458"/>
      <c r="D2" s="458"/>
      <c r="E2" s="458"/>
    </row>
    <row r="3" spans="1:5" ht="27" customHeight="1">
      <c r="A3" s="460" t="str">
        <f>Basic!C3</f>
        <v>For the year ended December 31, 2022</v>
      </c>
      <c r="B3" s="460"/>
      <c r="C3" s="460"/>
      <c r="D3" s="460"/>
      <c r="E3" s="460"/>
    </row>
    <row r="4" spans="1:5" s="66" customFormat="1" ht="21.75" customHeight="1" thickBot="1">
      <c r="A4" s="459"/>
      <c r="B4" s="459"/>
      <c r="C4" s="459"/>
      <c r="D4" s="459"/>
      <c r="E4" s="70" t="s">
        <v>682</v>
      </c>
    </row>
    <row r="5" spans="1:5" s="66" customFormat="1" ht="31.5" customHeight="1">
      <c r="A5" s="461" t="s">
        <v>3</v>
      </c>
      <c r="B5" s="461"/>
      <c r="C5" s="462"/>
      <c r="D5" s="136" t="s">
        <v>695</v>
      </c>
      <c r="E5" s="163" t="s">
        <v>696</v>
      </c>
    </row>
    <row r="6" spans="1:5" s="66" customFormat="1" ht="33" customHeight="1">
      <c r="A6" s="419" t="s">
        <v>675</v>
      </c>
      <c r="B6" s="419"/>
      <c r="C6" s="419"/>
      <c r="D6" s="303">
        <f>'2-PL_CN'!B6</f>
        <v>0</v>
      </c>
      <c r="E6" s="304">
        <f>'2-PL_CN'!C6</f>
        <v>0</v>
      </c>
    </row>
    <row r="7" spans="1:5" s="66" customFormat="1" ht="33" customHeight="1">
      <c r="A7" s="420" t="s">
        <v>637</v>
      </c>
      <c r="B7" s="417" t="s">
        <v>676</v>
      </c>
      <c r="C7" s="417"/>
      <c r="D7" s="297">
        <f>'2-PL_CN'!B7</f>
        <v>0</v>
      </c>
      <c r="E7" s="316">
        <f>'2-PL_CN'!C7</f>
        <v>0</v>
      </c>
    </row>
    <row r="8" spans="1:5" s="66" customFormat="1" ht="33" customHeight="1">
      <c r="A8" s="402"/>
      <c r="B8" s="137" t="s">
        <v>638</v>
      </c>
      <c r="C8" s="137"/>
      <c r="D8" s="297">
        <f>'2-PL_CN'!B8</f>
        <v>0</v>
      </c>
      <c r="E8" s="316">
        <f>'2-PL_CN'!C8</f>
        <v>0</v>
      </c>
    </row>
    <row r="9" spans="1:5" s="66" customFormat="1" ht="33" customHeight="1">
      <c r="A9" s="402"/>
      <c r="B9" s="137" t="s">
        <v>639</v>
      </c>
      <c r="C9" s="137"/>
      <c r="D9" s="297">
        <f>'2-PL_CN'!B9</f>
        <v>0</v>
      </c>
      <c r="E9" s="316">
        <f>'2-PL_CN'!C9</f>
        <v>0</v>
      </c>
    </row>
    <row r="10" spans="1:5" s="66" customFormat="1" ht="33" customHeight="1">
      <c r="A10" s="402"/>
      <c r="B10" s="137" t="s">
        <v>640</v>
      </c>
      <c r="C10" s="137"/>
      <c r="D10" s="297">
        <f>'2-PL_CN'!B10</f>
        <v>0</v>
      </c>
      <c r="E10" s="316">
        <f>'2-PL_CN'!C10</f>
        <v>0</v>
      </c>
    </row>
    <row r="11" spans="1:5" s="66" customFormat="1" ht="33" customHeight="1">
      <c r="A11" s="420"/>
      <c r="B11" s="417" t="s">
        <v>674</v>
      </c>
      <c r="C11" s="417"/>
      <c r="D11" s="297">
        <f>'2-PL_CN'!B11</f>
        <v>0</v>
      </c>
      <c r="E11" s="316">
        <f>'2-PL_CN'!C11</f>
        <v>0</v>
      </c>
    </row>
    <row r="12" spans="1:5" s="66" customFormat="1" ht="33" customHeight="1">
      <c r="A12" s="403"/>
      <c r="B12" s="138" t="s">
        <v>641</v>
      </c>
      <c r="C12" s="138"/>
      <c r="D12" s="297">
        <f>'2-PL_CN'!B12</f>
        <v>0</v>
      </c>
      <c r="E12" s="316">
        <f>'2-PL_CN'!C12</f>
        <v>0</v>
      </c>
    </row>
    <row r="13" spans="1:5" s="66" customFormat="1" ht="33" customHeight="1">
      <c r="A13" s="403"/>
      <c r="B13" s="403" t="s">
        <v>644</v>
      </c>
      <c r="C13" s="138" t="s">
        <v>642</v>
      </c>
      <c r="D13" s="297">
        <f>'2-PL_CN'!B13</f>
        <v>0</v>
      </c>
      <c r="E13" s="316">
        <f>'2-PL_CN'!C13</f>
        <v>0</v>
      </c>
    </row>
    <row r="14" spans="1:5" s="66" customFormat="1" ht="33" customHeight="1">
      <c r="A14" s="403"/>
      <c r="B14" s="403"/>
      <c r="C14" s="138" t="s">
        <v>643</v>
      </c>
      <c r="D14" s="297">
        <f>'2-PL_CN'!B14</f>
        <v>0</v>
      </c>
      <c r="E14" s="316">
        <f>'2-PL_CN'!C14</f>
        <v>0</v>
      </c>
    </row>
    <row r="15" spans="1:5" s="66" customFormat="1" ht="33" customHeight="1">
      <c r="A15" s="421" t="s">
        <v>645</v>
      </c>
      <c r="B15" s="420" t="s">
        <v>677</v>
      </c>
      <c r="C15" s="422"/>
      <c r="D15" s="297">
        <f>'2-PL_CN'!B15</f>
        <v>0</v>
      </c>
      <c r="E15" s="316">
        <f>'2-PL_CN'!C15</f>
        <v>0</v>
      </c>
    </row>
    <row r="16" spans="1:5" s="66" customFormat="1" ht="33" customHeight="1">
      <c r="A16" s="402"/>
      <c r="B16" s="402" t="s">
        <v>646</v>
      </c>
      <c r="C16" s="137"/>
      <c r="D16" s="297">
        <f>'2-PL_CN'!B16</f>
        <v>0</v>
      </c>
      <c r="E16" s="316">
        <f>'2-PL_CN'!C16</f>
        <v>0</v>
      </c>
    </row>
    <row r="17" spans="1:5" s="66" customFormat="1" ht="33" customHeight="1">
      <c r="A17" s="404"/>
      <c r="B17" s="403" t="s">
        <v>644</v>
      </c>
      <c r="C17" s="161" t="s">
        <v>647</v>
      </c>
      <c r="D17" s="297">
        <f>'2-PL_CN'!B17</f>
        <v>0</v>
      </c>
      <c r="E17" s="316">
        <f>'2-PL_CN'!C17</f>
        <v>0</v>
      </c>
    </row>
    <row r="18" spans="1:5" s="66" customFormat="1" ht="42" customHeight="1">
      <c r="A18" s="405"/>
      <c r="B18" s="405"/>
      <c r="C18" s="399" t="s">
        <v>648</v>
      </c>
      <c r="D18" s="297">
        <f>'2-PL_CN'!B18</f>
        <v>0</v>
      </c>
      <c r="E18" s="316">
        <f>'2-PL_CN'!C18</f>
        <v>0</v>
      </c>
    </row>
    <row r="19" spans="1:5" s="66" customFormat="1" ht="33" customHeight="1">
      <c r="A19" s="405"/>
      <c r="B19" s="406" t="s">
        <v>649</v>
      </c>
      <c r="C19" s="399"/>
      <c r="D19" s="297">
        <f>'2-PL_CN'!B19</f>
        <v>0</v>
      </c>
      <c r="E19" s="316">
        <f>'2-PL_CN'!C19</f>
        <v>0</v>
      </c>
    </row>
    <row r="20" spans="1:5" s="66" customFormat="1" ht="33" customHeight="1">
      <c r="A20" s="407"/>
      <c r="B20" s="408" t="s">
        <v>650</v>
      </c>
      <c r="C20" s="401"/>
      <c r="D20" s="297">
        <f>'2-PL_CN'!B20</f>
        <v>0</v>
      </c>
      <c r="E20" s="316">
        <f>'2-PL_CN'!C20</f>
        <v>0</v>
      </c>
    </row>
    <row r="21" spans="1:5" s="66" customFormat="1" ht="33" customHeight="1">
      <c r="A21" s="406"/>
      <c r="B21" s="406" t="s">
        <v>651</v>
      </c>
      <c r="C21" s="400"/>
      <c r="D21" s="297">
        <f>'2-PL_CN'!B21</f>
        <v>0</v>
      </c>
      <c r="E21" s="316">
        <f>'2-PL_CN'!C21</f>
        <v>0</v>
      </c>
    </row>
    <row r="22" spans="1:5" s="66" customFormat="1" ht="33" customHeight="1">
      <c r="A22" s="406"/>
      <c r="B22" s="406" t="s">
        <v>652</v>
      </c>
      <c r="C22" s="400"/>
      <c r="D22" s="297">
        <f>'2-PL_CN'!B22</f>
        <v>0</v>
      </c>
      <c r="E22" s="316">
        <f>'2-PL_CN'!C22</f>
        <v>0</v>
      </c>
    </row>
    <row r="23" spans="1:5" s="66" customFormat="1" ht="33" customHeight="1">
      <c r="A23" s="404"/>
      <c r="B23" s="403" t="s">
        <v>653</v>
      </c>
      <c r="C23" s="161"/>
      <c r="D23" s="297">
        <f>'2-PL_CN'!B23</f>
        <v>0</v>
      </c>
      <c r="E23" s="316">
        <f>'2-PL_CN'!C23</f>
        <v>0</v>
      </c>
    </row>
    <row r="24" spans="1:5" s="66" customFormat="1" ht="33" customHeight="1">
      <c r="A24" s="302" t="s">
        <v>634</v>
      </c>
      <c r="B24" s="302"/>
      <c r="C24" s="302"/>
      <c r="D24" s="303">
        <f>D6-D7-D8-D9-D10-D11-D12+D15+D16+D19+D20+D21+D22+D23</f>
        <v>0</v>
      </c>
      <c r="E24" s="304">
        <f>E6-E7-E8-E9-E10-E11-E12+E15+E16+E19+E20+E21+E22+E23</f>
        <v>0</v>
      </c>
    </row>
    <row r="25" spans="1:5" s="66" customFormat="1" ht="33" customHeight="1">
      <c r="A25" s="403"/>
      <c r="B25" s="403" t="s">
        <v>654</v>
      </c>
      <c r="C25" s="138" t="s">
        <v>656</v>
      </c>
      <c r="D25" s="297">
        <f>'2-PL_CN'!B25</f>
        <v>0</v>
      </c>
      <c r="E25" s="316">
        <f>'2-PL_CN'!C25</f>
        <v>0</v>
      </c>
    </row>
    <row r="26" spans="1:5" s="66" customFormat="1" ht="33" customHeight="1">
      <c r="A26" s="403"/>
      <c r="B26" s="403" t="s">
        <v>655</v>
      </c>
      <c r="C26" s="138" t="s">
        <v>657</v>
      </c>
      <c r="D26" s="297">
        <f>'2-PL_CN'!B26</f>
        <v>0</v>
      </c>
      <c r="E26" s="316">
        <f>'2-PL_CN'!C26</f>
        <v>0</v>
      </c>
    </row>
    <row r="27" spans="1:5" s="66" customFormat="1" ht="33" customHeight="1">
      <c r="A27" s="302" t="s">
        <v>635</v>
      </c>
      <c r="B27" s="302"/>
      <c r="C27" s="302"/>
      <c r="D27" s="303">
        <f>D24+D25-D26</f>
        <v>0</v>
      </c>
      <c r="E27" s="304">
        <f>E24+E25-E26</f>
        <v>0</v>
      </c>
    </row>
    <row r="28" spans="1:5" s="66" customFormat="1" ht="33" customHeight="1">
      <c r="A28" s="402"/>
      <c r="B28" s="402" t="s">
        <v>655</v>
      </c>
      <c r="C28" s="137" t="s">
        <v>658</v>
      </c>
      <c r="D28" s="297">
        <f>'2-PL_CN'!B28</f>
        <v>0</v>
      </c>
      <c r="E28" s="316">
        <f>'2-PL_CN'!C28</f>
        <v>0</v>
      </c>
    </row>
    <row r="29" spans="1:5" s="66" customFormat="1" ht="33" customHeight="1">
      <c r="A29" s="301" t="s">
        <v>636</v>
      </c>
      <c r="B29" s="301"/>
      <c r="C29" s="301"/>
      <c r="D29" s="303">
        <f>D27-D28</f>
        <v>0</v>
      </c>
      <c r="E29" s="304">
        <f>E27-E28</f>
        <v>0</v>
      </c>
    </row>
    <row r="30" spans="1:5" s="66" customFormat="1" ht="33" customHeight="1">
      <c r="A30" s="137" t="s">
        <v>253</v>
      </c>
      <c r="B30" s="137"/>
      <c r="C30" s="137"/>
      <c r="D30" s="297">
        <f>'2-PL_CN'!B30</f>
        <v>0</v>
      </c>
      <c r="E30" s="316">
        <f>'2-PL_CN'!C30</f>
        <v>0</v>
      </c>
    </row>
    <row r="31" spans="1:5" s="66" customFormat="1" ht="33" customHeight="1">
      <c r="A31" s="137" t="s">
        <v>543</v>
      </c>
      <c r="B31" s="137"/>
      <c r="C31" s="137"/>
      <c r="D31" s="297">
        <f>'2-PL_CN'!B31</f>
        <v>0</v>
      </c>
      <c r="E31" s="316">
        <f>'2-PL_CN'!C31</f>
        <v>0</v>
      </c>
    </row>
    <row r="32" spans="1:5" s="66" customFormat="1" ht="33" customHeight="1">
      <c r="A32" s="301" t="s">
        <v>544</v>
      </c>
      <c r="B32" s="301"/>
      <c r="C32" s="301"/>
      <c r="D32" s="303">
        <f>SUM(D33:D34)</f>
        <v>0</v>
      </c>
      <c r="E32" s="304">
        <f>SUM(E33:E34)</f>
        <v>0</v>
      </c>
    </row>
    <row r="33" spans="1:5" s="66" customFormat="1" ht="39" customHeight="1">
      <c r="A33" s="137" t="s">
        <v>254</v>
      </c>
      <c r="B33" s="137"/>
      <c r="C33" s="137"/>
      <c r="D33" s="297">
        <f>'2-PL_CN'!B33</f>
        <v>0</v>
      </c>
      <c r="E33" s="316">
        <f>'2-PL_CN'!C33</f>
        <v>0</v>
      </c>
    </row>
    <row r="34" spans="1:5" s="66" customFormat="1" ht="33" customHeight="1">
      <c r="A34" s="137" t="s">
        <v>542</v>
      </c>
      <c r="B34" s="137"/>
      <c r="C34" s="137"/>
      <c r="D34" s="297">
        <f>'2-PL_CN'!B34</f>
        <v>0</v>
      </c>
      <c r="E34" s="316">
        <f>'2-PL_CN'!C34</f>
        <v>0</v>
      </c>
    </row>
    <row r="35" spans="1:5" s="66" customFormat="1" ht="33" customHeight="1" thickBot="1">
      <c r="A35" s="414" t="s">
        <v>545</v>
      </c>
      <c r="B35" s="307"/>
      <c r="C35" s="307"/>
      <c r="D35" s="305">
        <f>D29+D32</f>
        <v>0</v>
      </c>
      <c r="E35" s="306">
        <f>E29+E32</f>
        <v>0</v>
      </c>
    </row>
    <row r="36" spans="1:5" s="67" customFormat="1" ht="47.25" customHeight="1">
      <c r="A36" s="409" t="s">
        <v>541</v>
      </c>
      <c r="B36" s="308"/>
      <c r="C36" s="308"/>
      <c r="D36" s="308" t="s">
        <v>540</v>
      </c>
      <c r="E36" s="308"/>
    </row>
    <row r="38" spans="1:5" s="299" customFormat="1" ht="25.5" customHeight="1">
      <c r="A38" s="298"/>
      <c r="B38" s="298"/>
      <c r="C38" s="298"/>
      <c r="D38" s="300">
        <f>D35-'2-PL_CN'!B35</f>
        <v>0</v>
      </c>
      <c r="E38" s="300">
        <f>E35-'2-PL_CN'!C35</f>
        <v>0</v>
      </c>
    </row>
  </sheetData>
  <mergeCells count="5">
    <mergeCell ref="A1:E1"/>
    <mergeCell ref="A4:D4"/>
    <mergeCell ref="A3:E3"/>
    <mergeCell ref="A5:C5"/>
    <mergeCell ref="A2:E2"/>
  </mergeCells>
  <phoneticPr fontId="14" type="noConversion"/>
  <printOptions horizontalCentered="1"/>
  <pageMargins left="0.98425196850393704" right="0.78740157480314965" top="0.78740157480314965" bottom="0.78740157480314965" header="0.70866141732283472" footer="0.51181102362204722"/>
  <pageSetup paperSize="9" scale="54" orientation="portrait" blackAndWhite="1"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G52"/>
  <sheetViews>
    <sheetView view="pageBreakPreview" zoomScale="70" zoomScaleNormal="100" zoomScaleSheetLayoutView="70" workbookViewId="0">
      <selection activeCell="B16" sqref="B16"/>
    </sheetView>
  </sheetViews>
  <sheetFormatPr defaultColWidth="8.08203125" defaultRowHeight="23.15" customHeight="1"/>
  <cols>
    <col min="1" max="1" width="86" style="224" customWidth="1"/>
    <col min="2" max="2" width="22.75" style="227" customWidth="1"/>
    <col min="3" max="3" width="22.75" style="221" customWidth="1"/>
    <col min="4" max="4" width="1.83203125" style="222" customWidth="1"/>
    <col min="5" max="5" width="97.08203125" style="197" customWidth="1"/>
    <col min="6" max="6" width="21.08203125" style="198" customWidth="1"/>
    <col min="7" max="7" width="21.08203125" style="197" customWidth="1"/>
    <col min="8" max="16384" width="8.08203125" style="87"/>
  </cols>
  <sheetData>
    <row r="1" spans="1:7" ht="45" customHeight="1">
      <c r="A1" s="463" t="str">
        <f>Basic!B1</f>
        <v>***公司</v>
      </c>
      <c r="B1" s="464"/>
      <c r="C1" s="464"/>
      <c r="D1" s="194"/>
      <c r="E1" s="195" t="str">
        <f>Basic!C1</f>
        <v>*****</v>
      </c>
      <c r="F1" s="196"/>
    </row>
    <row r="2" spans="1:7" ht="45" customHeight="1">
      <c r="A2" s="463" t="s">
        <v>233</v>
      </c>
      <c r="B2" s="464"/>
      <c r="C2" s="464"/>
      <c r="D2" s="194"/>
      <c r="E2" s="195" t="s">
        <v>54</v>
      </c>
      <c r="F2" s="196"/>
    </row>
    <row r="3" spans="1:7" ht="23.15" customHeight="1">
      <c r="A3" s="465" t="s">
        <v>697</v>
      </c>
      <c r="B3" s="465"/>
      <c r="C3" s="465"/>
      <c r="D3" s="97"/>
      <c r="E3" s="195" t="s">
        <v>704</v>
      </c>
    </row>
    <row r="4" spans="1:7" ht="24.75" customHeight="1">
      <c r="A4" s="100"/>
      <c r="B4" s="200"/>
      <c r="C4" s="96" t="s">
        <v>23</v>
      </c>
      <c r="D4" s="96"/>
      <c r="E4" s="39"/>
      <c r="G4" s="201" t="s">
        <v>173</v>
      </c>
    </row>
    <row r="5" spans="1:7" ht="10.15" customHeight="1">
      <c r="A5" s="202"/>
      <c r="B5" s="203"/>
      <c r="C5" s="98"/>
      <c r="D5" s="97"/>
      <c r="F5" s="204"/>
    </row>
    <row r="6" spans="1:7" ht="24" customHeight="1">
      <c r="A6" s="205" t="s">
        <v>55</v>
      </c>
      <c r="B6" s="99" t="s">
        <v>698</v>
      </c>
      <c r="C6" s="99" t="s">
        <v>699</v>
      </c>
      <c r="D6" s="206"/>
      <c r="E6" s="207" t="s">
        <v>222</v>
      </c>
      <c r="F6" s="101" t="s">
        <v>700</v>
      </c>
      <c r="G6" s="101" t="s">
        <v>701</v>
      </c>
    </row>
    <row r="7" spans="1:7" ht="24" customHeight="1">
      <c r="A7" s="208" t="s">
        <v>56</v>
      </c>
      <c r="B7" s="228"/>
      <c r="C7" s="228"/>
      <c r="D7" s="209"/>
      <c r="E7" s="210" t="s">
        <v>57</v>
      </c>
      <c r="F7" s="261">
        <f t="shared" ref="F7:G9" si="0">B7</f>
        <v>0</v>
      </c>
      <c r="G7" s="261">
        <f t="shared" si="0"/>
        <v>0</v>
      </c>
    </row>
    <row r="8" spans="1:7" ht="24" customHeight="1">
      <c r="A8" s="208" t="s">
        <v>58</v>
      </c>
      <c r="B8" s="228"/>
      <c r="C8" s="228"/>
      <c r="D8" s="209"/>
      <c r="E8" s="210" t="s">
        <v>59</v>
      </c>
      <c r="F8" s="261">
        <f t="shared" si="0"/>
        <v>0</v>
      </c>
      <c r="G8" s="261">
        <f t="shared" si="0"/>
        <v>0</v>
      </c>
    </row>
    <row r="9" spans="1:7" ht="24" customHeight="1">
      <c r="A9" s="208" t="s">
        <v>60</v>
      </c>
      <c r="B9" s="228"/>
      <c r="C9" s="228"/>
      <c r="D9" s="209"/>
      <c r="E9" s="210" t="s">
        <v>61</v>
      </c>
      <c r="F9" s="261">
        <f t="shared" si="0"/>
        <v>0</v>
      </c>
      <c r="G9" s="261">
        <f t="shared" si="0"/>
        <v>0</v>
      </c>
    </row>
    <row r="10" spans="1:7" ht="24" customHeight="1">
      <c r="A10" s="211" t="s">
        <v>226</v>
      </c>
      <c r="B10" s="258">
        <f>SUM(B7:B9)</f>
        <v>0</v>
      </c>
      <c r="C10" s="258">
        <f>SUM(C7:C9)</f>
        <v>0</v>
      </c>
      <c r="D10" s="212"/>
      <c r="E10" s="213" t="s">
        <v>62</v>
      </c>
      <c r="F10" s="258">
        <f>SUM(F7:F9)</f>
        <v>0</v>
      </c>
      <c r="G10" s="258">
        <f>SUM(G7:G9)</f>
        <v>0</v>
      </c>
    </row>
    <row r="11" spans="1:7" ht="24" customHeight="1">
      <c r="A11" s="208" t="s">
        <v>63</v>
      </c>
      <c r="B11" s="228"/>
      <c r="C11" s="228"/>
      <c r="D11" s="209"/>
      <c r="E11" s="210" t="s">
        <v>64</v>
      </c>
      <c r="F11" s="261">
        <f t="shared" ref="F11:G14" si="1">B11</f>
        <v>0</v>
      </c>
      <c r="G11" s="261">
        <f t="shared" si="1"/>
        <v>0</v>
      </c>
    </row>
    <row r="12" spans="1:7" ht="24" customHeight="1">
      <c r="A12" s="208" t="s">
        <v>65</v>
      </c>
      <c r="B12" s="228"/>
      <c r="C12" s="228"/>
      <c r="D12" s="209"/>
      <c r="E12" s="210" t="s">
        <v>66</v>
      </c>
      <c r="F12" s="261">
        <f t="shared" si="1"/>
        <v>0</v>
      </c>
      <c r="G12" s="261">
        <f t="shared" si="1"/>
        <v>0</v>
      </c>
    </row>
    <row r="13" spans="1:7" ht="24" customHeight="1">
      <c r="A13" s="208" t="s">
        <v>67</v>
      </c>
      <c r="B13" s="228"/>
      <c r="C13" s="228"/>
      <c r="D13" s="209"/>
      <c r="E13" s="210" t="s">
        <v>68</v>
      </c>
      <c r="F13" s="261">
        <f t="shared" si="1"/>
        <v>0</v>
      </c>
      <c r="G13" s="261">
        <f t="shared" si="1"/>
        <v>0</v>
      </c>
    </row>
    <row r="14" spans="1:7" ht="24" customHeight="1">
      <c r="A14" s="208" t="s">
        <v>69</v>
      </c>
      <c r="B14" s="228"/>
      <c r="C14" s="228"/>
      <c r="D14" s="209"/>
      <c r="E14" s="210" t="s">
        <v>70</v>
      </c>
      <c r="F14" s="261">
        <f t="shared" si="1"/>
        <v>0</v>
      </c>
      <c r="G14" s="261">
        <f t="shared" si="1"/>
        <v>0</v>
      </c>
    </row>
    <row r="15" spans="1:7" ht="24" customHeight="1">
      <c r="A15" s="211" t="s">
        <v>227</v>
      </c>
      <c r="B15" s="258">
        <f>SUM(B11:B14)</f>
        <v>0</v>
      </c>
      <c r="C15" s="258">
        <f>SUM(C11:C14)</f>
        <v>0</v>
      </c>
      <c r="D15" s="212"/>
      <c r="E15" s="213" t="s">
        <v>71</v>
      </c>
      <c r="F15" s="258">
        <f>SUM(F11:F14)</f>
        <v>0</v>
      </c>
      <c r="G15" s="258">
        <f>SUM(G11:G14)</f>
        <v>0</v>
      </c>
    </row>
    <row r="16" spans="1:7" ht="24" customHeight="1">
      <c r="A16" s="211" t="s">
        <v>72</v>
      </c>
      <c r="B16" s="259">
        <f>B10-B15</f>
        <v>0</v>
      </c>
      <c r="C16" s="259">
        <f>C10-C15</f>
        <v>0</v>
      </c>
      <c r="D16" s="212"/>
      <c r="E16" s="213" t="s">
        <v>73</v>
      </c>
      <c r="F16" s="258">
        <f>F10-F15</f>
        <v>0</v>
      </c>
      <c r="G16" s="258">
        <f>G10-G15</f>
        <v>0</v>
      </c>
    </row>
    <row r="17" spans="1:7" ht="10.9" customHeight="1">
      <c r="A17" s="214"/>
      <c r="B17" s="228"/>
      <c r="C17" s="228"/>
      <c r="D17" s="209"/>
      <c r="E17" s="213"/>
      <c r="F17" s="261"/>
      <c r="G17" s="261"/>
    </row>
    <row r="18" spans="1:7" ht="24" customHeight="1">
      <c r="A18" s="214" t="s">
        <v>74</v>
      </c>
      <c r="B18" s="228"/>
      <c r="C18" s="228"/>
      <c r="D18" s="209"/>
      <c r="E18" s="213" t="s">
        <v>223</v>
      </c>
      <c r="F18" s="261"/>
      <c r="G18" s="261"/>
    </row>
    <row r="19" spans="1:7" ht="24" customHeight="1">
      <c r="A19" s="208" t="s">
        <v>516</v>
      </c>
      <c r="B19" s="228"/>
      <c r="C19" s="228"/>
      <c r="D19" s="209"/>
      <c r="E19" s="197" t="s">
        <v>520</v>
      </c>
      <c r="F19" s="261">
        <f t="shared" ref="F19:G23" si="2">B19</f>
        <v>0</v>
      </c>
      <c r="G19" s="261">
        <f t="shared" si="2"/>
        <v>0</v>
      </c>
    </row>
    <row r="20" spans="1:7" ht="24" customHeight="1">
      <c r="A20" s="208" t="s">
        <v>263</v>
      </c>
      <c r="B20" s="228"/>
      <c r="C20" s="228"/>
      <c r="D20" s="209"/>
      <c r="E20" s="215" t="s">
        <v>269</v>
      </c>
      <c r="F20" s="261">
        <f t="shared" si="2"/>
        <v>0</v>
      </c>
      <c r="G20" s="261">
        <f t="shared" si="2"/>
        <v>0</v>
      </c>
    </row>
    <row r="21" spans="1:7" ht="24" customHeight="1">
      <c r="A21" s="208" t="s">
        <v>265</v>
      </c>
      <c r="B21" s="228"/>
      <c r="C21" s="228"/>
      <c r="D21" s="209"/>
      <c r="E21" s="215" t="s">
        <v>669</v>
      </c>
      <c r="F21" s="261">
        <f t="shared" si="2"/>
        <v>0</v>
      </c>
      <c r="G21" s="261">
        <f t="shared" si="2"/>
        <v>0</v>
      </c>
    </row>
    <row r="22" spans="1:7" ht="24" customHeight="1">
      <c r="A22" s="208" t="s">
        <v>266</v>
      </c>
      <c r="B22" s="228"/>
      <c r="C22" s="228"/>
      <c r="D22" s="209"/>
      <c r="E22" s="215" t="s">
        <v>518</v>
      </c>
      <c r="F22" s="261">
        <f t="shared" si="2"/>
        <v>0</v>
      </c>
      <c r="G22" s="261">
        <f t="shared" si="2"/>
        <v>0</v>
      </c>
    </row>
    <row r="23" spans="1:7" ht="24" customHeight="1">
      <c r="A23" s="208" t="s">
        <v>76</v>
      </c>
      <c r="B23" s="228"/>
      <c r="C23" s="228"/>
      <c r="D23" s="209"/>
      <c r="E23" s="210" t="s">
        <v>77</v>
      </c>
      <c r="F23" s="261">
        <f t="shared" si="2"/>
        <v>0</v>
      </c>
      <c r="G23" s="261">
        <f t="shared" si="2"/>
        <v>0</v>
      </c>
    </row>
    <row r="24" spans="1:7" ht="24" customHeight="1">
      <c r="A24" s="211" t="s">
        <v>267</v>
      </c>
      <c r="B24" s="258">
        <f>SUM(B19:B23)</f>
        <v>0</v>
      </c>
      <c r="C24" s="258">
        <f>SUM(C19:C23)</f>
        <v>0</v>
      </c>
      <c r="D24" s="209"/>
      <c r="E24" s="213" t="s">
        <v>270</v>
      </c>
      <c r="F24" s="258">
        <f>SUM(F19:F23)</f>
        <v>0</v>
      </c>
      <c r="G24" s="258">
        <f>SUM(G19:G23)</f>
        <v>0</v>
      </c>
    </row>
    <row r="25" spans="1:7" ht="23.25" customHeight="1">
      <c r="A25" s="208" t="s">
        <v>521</v>
      </c>
      <c r="B25" s="228"/>
      <c r="C25" s="228"/>
      <c r="D25" s="209"/>
      <c r="E25" s="216" t="s">
        <v>517</v>
      </c>
      <c r="F25" s="261">
        <f t="shared" ref="F25:G28" si="3">B25</f>
        <v>0</v>
      </c>
      <c r="G25" s="261">
        <f t="shared" si="3"/>
        <v>0</v>
      </c>
    </row>
    <row r="26" spans="1:7" ht="24" customHeight="1">
      <c r="A26" s="208" t="s">
        <v>264</v>
      </c>
      <c r="B26" s="228"/>
      <c r="C26" s="228"/>
      <c r="D26" s="209"/>
      <c r="E26" s="216" t="s">
        <v>258</v>
      </c>
      <c r="F26" s="261">
        <f t="shared" si="3"/>
        <v>0</v>
      </c>
      <c r="G26" s="261">
        <f t="shared" si="3"/>
        <v>0</v>
      </c>
    </row>
    <row r="27" spans="1:7" ht="24" customHeight="1">
      <c r="A27" s="208" t="s">
        <v>268</v>
      </c>
      <c r="B27" s="228"/>
      <c r="C27" s="228"/>
      <c r="D27" s="212"/>
      <c r="E27" s="216" t="s">
        <v>272</v>
      </c>
      <c r="F27" s="261">
        <f t="shared" si="3"/>
        <v>0</v>
      </c>
      <c r="G27" s="261">
        <f t="shared" si="3"/>
        <v>0</v>
      </c>
    </row>
    <row r="28" spans="1:7" ht="24" customHeight="1">
      <c r="A28" s="208" t="s">
        <v>78</v>
      </c>
      <c r="B28" s="228"/>
      <c r="C28" s="228"/>
      <c r="D28" s="209"/>
      <c r="E28" s="210" t="s">
        <v>79</v>
      </c>
      <c r="F28" s="261">
        <f t="shared" si="3"/>
        <v>0</v>
      </c>
      <c r="G28" s="261">
        <f t="shared" si="3"/>
        <v>0</v>
      </c>
    </row>
    <row r="29" spans="1:7" ht="24" customHeight="1">
      <c r="A29" s="211" t="s">
        <v>228</v>
      </c>
      <c r="B29" s="258">
        <f>SUM(B25:B28)</f>
        <v>0</v>
      </c>
      <c r="C29" s="258">
        <f>SUM(C25:C28)</f>
        <v>0</v>
      </c>
      <c r="D29" s="212"/>
      <c r="E29" s="213" t="s">
        <v>271</v>
      </c>
      <c r="F29" s="258">
        <f>SUM(F25:F28)</f>
        <v>0</v>
      </c>
      <c r="G29" s="258">
        <f>SUM(G25:G28)</f>
        <v>0</v>
      </c>
    </row>
    <row r="30" spans="1:7" ht="24" customHeight="1">
      <c r="A30" s="211" t="s">
        <v>80</v>
      </c>
      <c r="B30" s="259">
        <f>B24-B29</f>
        <v>0</v>
      </c>
      <c r="C30" s="259">
        <f>C24-C29</f>
        <v>0</v>
      </c>
      <c r="D30" s="212"/>
      <c r="E30" s="213" t="s">
        <v>81</v>
      </c>
      <c r="F30" s="259">
        <f>F24-F29</f>
        <v>0</v>
      </c>
      <c r="G30" s="259">
        <f>G24-G29</f>
        <v>0</v>
      </c>
    </row>
    <row r="31" spans="1:7" ht="10.5" customHeight="1">
      <c r="A31" s="214"/>
      <c r="B31" s="228"/>
      <c r="C31" s="228"/>
      <c r="D31" s="209"/>
      <c r="E31" s="213"/>
      <c r="F31" s="261"/>
      <c r="G31" s="261"/>
    </row>
    <row r="32" spans="1:7" ht="23.25" customHeight="1">
      <c r="A32" s="214" t="s">
        <v>82</v>
      </c>
      <c r="B32" s="228"/>
      <c r="C32" s="228"/>
      <c r="D32" s="209"/>
      <c r="E32" s="213" t="s">
        <v>224</v>
      </c>
      <c r="F32" s="261"/>
      <c r="G32" s="261"/>
    </row>
    <row r="33" spans="1:7" ht="23.25" customHeight="1">
      <c r="A33" s="208" t="s">
        <v>75</v>
      </c>
      <c r="B33" s="228"/>
      <c r="C33" s="228"/>
      <c r="D33" s="209"/>
      <c r="E33" s="210" t="s">
        <v>83</v>
      </c>
      <c r="F33" s="261">
        <f t="shared" ref="F33:G35" si="4">B33</f>
        <v>0</v>
      </c>
      <c r="G33" s="261">
        <f t="shared" si="4"/>
        <v>0</v>
      </c>
    </row>
    <row r="34" spans="1:7" ht="23.25" customHeight="1">
      <c r="A34" s="208" t="s">
        <v>313</v>
      </c>
      <c r="B34" s="228"/>
      <c r="C34" s="228"/>
      <c r="D34" s="209"/>
      <c r="E34" s="210" t="s">
        <v>84</v>
      </c>
      <c r="F34" s="261">
        <f t="shared" si="4"/>
        <v>0</v>
      </c>
      <c r="G34" s="261">
        <f t="shared" si="4"/>
        <v>0</v>
      </c>
    </row>
    <row r="35" spans="1:7" ht="23.25" customHeight="1">
      <c r="A35" s="208" t="s">
        <v>85</v>
      </c>
      <c r="B35" s="228"/>
      <c r="C35" s="228"/>
      <c r="D35" s="209"/>
      <c r="E35" s="210" t="s">
        <v>86</v>
      </c>
      <c r="F35" s="261">
        <f t="shared" si="4"/>
        <v>0</v>
      </c>
      <c r="G35" s="261">
        <f t="shared" si="4"/>
        <v>0</v>
      </c>
    </row>
    <row r="36" spans="1:7" ht="23.25" customHeight="1">
      <c r="A36" s="211" t="s">
        <v>229</v>
      </c>
      <c r="B36" s="258">
        <f>SUM(B33:B35)</f>
        <v>0</v>
      </c>
      <c r="C36" s="258">
        <f>SUM(C33:C35)</f>
        <v>0</v>
      </c>
      <c r="D36" s="212"/>
      <c r="E36" s="213" t="s">
        <v>273</v>
      </c>
      <c r="F36" s="258">
        <f>SUM(F33:F35)</f>
        <v>0</v>
      </c>
      <c r="G36" s="258">
        <f>SUM(G33:G35)</f>
        <v>0</v>
      </c>
    </row>
    <row r="37" spans="1:7" ht="23.25" customHeight="1">
      <c r="A37" s="208" t="s">
        <v>87</v>
      </c>
      <c r="B37" s="228"/>
      <c r="C37" s="228"/>
      <c r="D37" s="209"/>
      <c r="E37" s="210" t="s">
        <v>88</v>
      </c>
      <c r="F37" s="261">
        <f t="shared" ref="F37:G39" si="5">B37</f>
        <v>0</v>
      </c>
      <c r="G37" s="261">
        <f t="shared" si="5"/>
        <v>0</v>
      </c>
    </row>
    <row r="38" spans="1:7" ht="23.25" customHeight="1">
      <c r="A38" s="208" t="s">
        <v>89</v>
      </c>
      <c r="B38" s="228"/>
      <c r="C38" s="228"/>
      <c r="D38" s="209"/>
      <c r="E38" s="210" t="s">
        <v>596</v>
      </c>
      <c r="F38" s="261">
        <f t="shared" si="5"/>
        <v>0</v>
      </c>
      <c r="G38" s="261">
        <f t="shared" si="5"/>
        <v>0</v>
      </c>
    </row>
    <row r="39" spans="1:7" ht="23.25" customHeight="1">
      <c r="A39" s="208" t="s">
        <v>90</v>
      </c>
      <c r="B39" s="228"/>
      <c r="C39" s="228"/>
      <c r="D39" s="209"/>
      <c r="E39" s="210" t="s">
        <v>91</v>
      </c>
      <c r="F39" s="261">
        <f t="shared" si="5"/>
        <v>0</v>
      </c>
      <c r="G39" s="261">
        <f t="shared" si="5"/>
        <v>0</v>
      </c>
    </row>
    <row r="40" spans="1:7" ht="23.25" customHeight="1">
      <c r="A40" s="211" t="s">
        <v>230</v>
      </c>
      <c r="B40" s="258">
        <f>SUM(B37:B39)</f>
        <v>0</v>
      </c>
      <c r="C40" s="258">
        <f>SUM(C37:C39)</f>
        <v>0</v>
      </c>
      <c r="D40" s="212"/>
      <c r="E40" s="213" t="s">
        <v>274</v>
      </c>
      <c r="F40" s="258">
        <f>SUM(F37:F39)</f>
        <v>0</v>
      </c>
      <c r="G40" s="258">
        <f>SUM(G37:G39)</f>
        <v>0</v>
      </c>
    </row>
    <row r="41" spans="1:7" ht="23.25" customHeight="1">
      <c r="A41" s="211" t="s">
        <v>92</v>
      </c>
      <c r="B41" s="259">
        <f>B36-B40</f>
        <v>0</v>
      </c>
      <c r="C41" s="259">
        <f>C36-C40</f>
        <v>0</v>
      </c>
      <c r="D41" s="212"/>
      <c r="E41" s="213" t="s">
        <v>93</v>
      </c>
      <c r="F41" s="258">
        <f>F36-F40</f>
        <v>0</v>
      </c>
      <c r="G41" s="258">
        <f>G36-G40</f>
        <v>0</v>
      </c>
    </row>
    <row r="42" spans="1:7" ht="10.9" customHeight="1">
      <c r="A42" s="199"/>
      <c r="B42" s="228"/>
      <c r="C42" s="228"/>
      <c r="D42" s="209"/>
      <c r="E42" s="210"/>
      <c r="F42" s="262"/>
      <c r="G42" s="261"/>
    </row>
    <row r="43" spans="1:7" ht="24" customHeight="1">
      <c r="A43" s="214" t="s">
        <v>94</v>
      </c>
      <c r="B43" s="229"/>
      <c r="C43" s="229"/>
      <c r="D43" s="212"/>
      <c r="E43" s="213" t="s">
        <v>225</v>
      </c>
      <c r="F43" s="263">
        <f>B43</f>
        <v>0</v>
      </c>
      <c r="G43" s="258">
        <f>C43</f>
        <v>0</v>
      </c>
    </row>
    <row r="44" spans="1:7" ht="10.9" customHeight="1">
      <c r="A44" s="214"/>
      <c r="B44" s="228"/>
      <c r="C44" s="230"/>
      <c r="D44" s="217"/>
      <c r="E44" s="213"/>
      <c r="F44" s="262"/>
      <c r="G44" s="261"/>
    </row>
    <row r="45" spans="1:7" ht="23.25" customHeight="1">
      <c r="A45" s="214" t="s">
        <v>259</v>
      </c>
      <c r="B45" s="258">
        <f>B16+B30+B41+B43</f>
        <v>0</v>
      </c>
      <c r="C45" s="258">
        <f>C16+C30+C41+C43</f>
        <v>0</v>
      </c>
      <c r="D45" s="212"/>
      <c r="E45" s="213" t="s">
        <v>262</v>
      </c>
      <c r="F45" s="263">
        <f>F16+F30+F41+F43</f>
        <v>0</v>
      </c>
      <c r="G45" s="263">
        <f>G16+G30+G41+G43</f>
        <v>0</v>
      </c>
    </row>
    <row r="46" spans="1:7" ht="23.25" customHeight="1">
      <c r="A46" s="208" t="s">
        <v>260</v>
      </c>
      <c r="B46" s="260">
        <f>C49</f>
        <v>0</v>
      </c>
      <c r="C46" s="313"/>
      <c r="D46" s="218"/>
      <c r="E46" s="210" t="s">
        <v>261</v>
      </c>
      <c r="F46" s="261">
        <f>B46</f>
        <v>0</v>
      </c>
      <c r="G46" s="260">
        <f>C46</f>
        <v>0</v>
      </c>
    </row>
    <row r="47" spans="1:7" ht="23.15" hidden="1" customHeight="1">
      <c r="A47" s="208"/>
      <c r="B47" s="231"/>
      <c r="C47" s="232"/>
      <c r="D47" s="220"/>
      <c r="E47" s="219"/>
      <c r="F47" s="261"/>
      <c r="G47" s="260"/>
    </row>
    <row r="48" spans="1:7" ht="23.15" hidden="1" customHeight="1">
      <c r="A48" s="208"/>
      <c r="B48" s="231"/>
      <c r="C48" s="232"/>
      <c r="F48" s="261"/>
      <c r="G48" s="260"/>
    </row>
    <row r="49" spans="1:7" ht="23.25" customHeight="1" thickBot="1">
      <c r="A49" s="211" t="s">
        <v>519</v>
      </c>
      <c r="B49" s="317">
        <f>B45+B46</f>
        <v>0</v>
      </c>
      <c r="C49" s="317">
        <f>C45+C46</f>
        <v>0</v>
      </c>
      <c r="E49" s="223" t="s">
        <v>275</v>
      </c>
      <c r="F49" s="317">
        <f>F45+F46</f>
        <v>0</v>
      </c>
      <c r="G49" s="317">
        <f>G45+G46</f>
        <v>0</v>
      </c>
    </row>
    <row r="50" spans="1:7" ht="30.75" customHeight="1">
      <c r="A50" s="224" t="s">
        <v>95</v>
      </c>
      <c r="B50" s="225" t="s">
        <v>515</v>
      </c>
      <c r="E50" s="197" t="s">
        <v>174</v>
      </c>
      <c r="F50" s="226" t="s">
        <v>96</v>
      </c>
    </row>
    <row r="51" spans="1:7" s="236" customFormat="1" ht="23.15" customHeight="1">
      <c r="A51" s="233"/>
      <c r="B51" s="234"/>
      <c r="C51" s="235"/>
      <c r="D51" s="235"/>
      <c r="F51" s="234"/>
    </row>
    <row r="52" spans="1:7" s="240" customFormat="1" ht="23.15" customHeight="1">
      <c r="A52" s="237"/>
      <c r="B52" s="238">
        <f>B49-'1-BS_CN'!B7</f>
        <v>0</v>
      </c>
      <c r="C52" s="239">
        <f>C49-'1-BS_CN'!C7</f>
        <v>0</v>
      </c>
      <c r="D52" s="239"/>
      <c r="F52" s="238">
        <f>F49-B49</f>
        <v>0</v>
      </c>
      <c r="G52" s="238">
        <f>G49-C49</f>
        <v>0</v>
      </c>
    </row>
  </sheetData>
  <mergeCells count="3">
    <mergeCell ref="A1:C1"/>
    <mergeCell ref="A3:C3"/>
    <mergeCell ref="A2:C2"/>
  </mergeCells>
  <phoneticPr fontId="14" type="noConversion"/>
  <printOptions horizontalCentered="1"/>
  <pageMargins left="0.98425196850393704" right="0.78740157480314965" top="0.78740157480314965" bottom="0.59055118110236227" header="0.82677165354330717" footer="0.19685039370078741"/>
  <pageSetup paperSize="9" scale="53" fitToWidth="2" orientation="portrait" blackAndWhite="1" r:id="rId1"/>
  <headerFooter differentOddEven="1"/>
  <colBreaks count="1" manualBreakCount="1">
    <brk id="3" max="1048575"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X34"/>
  <sheetViews>
    <sheetView view="pageBreakPreview" zoomScale="60" zoomScaleNormal="84" workbookViewId="0">
      <pane xSplit="1" ySplit="7" topLeftCell="B8" activePane="bottomRight" state="frozen"/>
      <selection activeCell="D12" sqref="D12"/>
      <selection pane="topRight" activeCell="D12" sqref="D12"/>
      <selection pane="bottomLeft" activeCell="D12" sqref="D12"/>
      <selection pane="bottomRight" activeCell="A30" sqref="A30:XFD30"/>
    </sheetView>
  </sheetViews>
  <sheetFormatPr defaultColWidth="21.25" defaultRowHeight="15.5"/>
  <cols>
    <col min="1" max="1" width="52.08203125" style="43" customWidth="1"/>
    <col min="2" max="2" width="22.5" style="44" customWidth="1"/>
    <col min="3" max="4" width="8.5" style="44" hidden="1" customWidth="1"/>
    <col min="5" max="5" width="6.25" style="44" hidden="1" customWidth="1"/>
    <col min="6" max="6" width="21" style="44" customWidth="1"/>
    <col min="7" max="8" width="8.5" style="44" hidden="1" customWidth="1"/>
    <col min="9" max="10" width="21" style="44" customWidth="1"/>
    <col min="11" max="12" width="22.5" style="44" customWidth="1"/>
    <col min="13" max="14" width="8.5" style="44" hidden="1" customWidth="1"/>
    <col min="15" max="15" width="6.5" style="44" hidden="1" customWidth="1"/>
    <col min="16" max="16" width="21" style="44" customWidth="1"/>
    <col min="17" max="18" width="8.5" style="44" hidden="1" customWidth="1"/>
    <col min="19" max="20" width="21" style="44" customWidth="1"/>
    <col min="21" max="21" width="22.5" style="44" customWidth="1"/>
    <col min="22" max="24" width="21.25" style="45" customWidth="1"/>
    <col min="25" max="16384" width="21.25" style="44"/>
  </cols>
  <sheetData>
    <row r="1" spans="1:24" s="40" customFormat="1" ht="38.25" customHeight="1">
      <c r="A1" s="463" t="str">
        <f>Basic!B1</f>
        <v>***公司</v>
      </c>
      <c r="B1" s="463"/>
      <c r="C1" s="463"/>
      <c r="D1" s="463"/>
      <c r="E1" s="463"/>
      <c r="F1" s="463"/>
      <c r="G1" s="463"/>
      <c r="H1" s="463"/>
      <c r="I1" s="463"/>
      <c r="J1" s="463"/>
      <c r="K1" s="463"/>
      <c r="L1" s="463"/>
      <c r="M1" s="463"/>
      <c r="N1" s="463"/>
      <c r="O1" s="463"/>
      <c r="P1" s="463"/>
      <c r="Q1" s="463"/>
      <c r="R1" s="463"/>
      <c r="S1" s="463"/>
      <c r="T1" s="463"/>
      <c r="U1" s="463"/>
      <c r="V1" s="53"/>
      <c r="W1" s="53"/>
      <c r="X1" s="53"/>
    </row>
    <row r="2" spans="1:24" s="40" customFormat="1" ht="38.25" customHeight="1">
      <c r="A2" s="463" t="s">
        <v>40</v>
      </c>
      <c r="B2" s="463"/>
      <c r="C2" s="463"/>
      <c r="D2" s="463"/>
      <c r="E2" s="463"/>
      <c r="F2" s="463"/>
      <c r="G2" s="463"/>
      <c r="H2" s="463"/>
      <c r="I2" s="463"/>
      <c r="J2" s="463"/>
      <c r="K2" s="463"/>
      <c r="L2" s="463"/>
      <c r="M2" s="463"/>
      <c r="N2" s="463"/>
      <c r="O2" s="463"/>
      <c r="P2" s="463"/>
      <c r="Q2" s="463"/>
      <c r="R2" s="463"/>
      <c r="S2" s="463"/>
      <c r="T2" s="463"/>
      <c r="U2" s="463"/>
      <c r="V2" s="53"/>
      <c r="W2" s="53"/>
      <c r="X2" s="53"/>
    </row>
    <row r="3" spans="1:24" s="41" customFormat="1" ht="15">
      <c r="A3" s="467" t="str">
        <f>Basic!B3</f>
        <v>2022年度</v>
      </c>
      <c r="B3" s="467"/>
      <c r="C3" s="467"/>
      <c r="D3" s="467"/>
      <c r="E3" s="467"/>
      <c r="F3" s="467"/>
      <c r="G3" s="467"/>
      <c r="H3" s="467"/>
      <c r="I3" s="467"/>
      <c r="J3" s="467"/>
      <c r="K3" s="467"/>
      <c r="L3" s="467"/>
      <c r="M3" s="467"/>
      <c r="N3" s="467"/>
      <c r="O3" s="467"/>
      <c r="P3" s="467"/>
      <c r="Q3" s="467"/>
      <c r="R3" s="467"/>
      <c r="S3" s="467"/>
      <c r="T3" s="467"/>
      <c r="U3" s="467"/>
      <c r="V3" s="54"/>
      <c r="W3" s="54"/>
      <c r="X3" s="54"/>
    </row>
    <row r="4" spans="1:24" s="41" customFormat="1" ht="24" customHeight="1" thickBot="1">
      <c r="A4" s="46"/>
      <c r="B4" s="47"/>
      <c r="C4" s="47"/>
      <c r="D4" s="47"/>
      <c r="E4" s="467"/>
      <c r="F4" s="467"/>
      <c r="G4" s="467"/>
      <c r="H4" s="467"/>
      <c r="I4" s="467"/>
      <c r="J4" s="467"/>
      <c r="K4" s="467"/>
      <c r="L4" s="47"/>
      <c r="M4" s="47"/>
      <c r="N4" s="47"/>
      <c r="O4" s="47"/>
      <c r="P4" s="415"/>
      <c r="Q4" s="415"/>
      <c r="R4" s="415"/>
      <c r="S4" s="415"/>
      <c r="T4" s="415"/>
      <c r="U4" s="412" t="s">
        <v>41</v>
      </c>
      <c r="V4" s="54"/>
      <c r="W4" s="54"/>
      <c r="X4" s="54"/>
    </row>
    <row r="5" spans="1:24" s="41" customFormat="1" ht="22.5" customHeight="1">
      <c r="A5" s="473" t="s">
        <v>42</v>
      </c>
      <c r="B5" s="468" t="s">
        <v>43</v>
      </c>
      <c r="C5" s="468"/>
      <c r="D5" s="468"/>
      <c r="E5" s="469"/>
      <c r="F5" s="468"/>
      <c r="G5" s="468"/>
      <c r="H5" s="468"/>
      <c r="I5" s="468"/>
      <c r="J5" s="468"/>
      <c r="K5" s="468"/>
      <c r="L5" s="470" t="s">
        <v>44</v>
      </c>
      <c r="M5" s="470"/>
      <c r="N5" s="470"/>
      <c r="O5" s="470"/>
      <c r="P5" s="470"/>
      <c r="Q5" s="470"/>
      <c r="R5" s="470"/>
      <c r="S5" s="470"/>
      <c r="T5" s="470"/>
      <c r="U5" s="471"/>
      <c r="V5" s="54"/>
      <c r="W5" s="54"/>
      <c r="X5" s="54"/>
    </row>
    <row r="6" spans="1:24" s="41" customFormat="1" ht="22.5" customHeight="1">
      <c r="A6" s="474"/>
      <c r="B6" s="466" t="s">
        <v>665</v>
      </c>
      <c r="C6" s="475" t="s">
        <v>314</v>
      </c>
      <c r="D6" s="475"/>
      <c r="E6" s="475"/>
      <c r="F6" s="466" t="s">
        <v>318</v>
      </c>
      <c r="G6" s="466" t="s">
        <v>319</v>
      </c>
      <c r="H6" s="466" t="s">
        <v>320</v>
      </c>
      <c r="I6" s="466" t="s">
        <v>321</v>
      </c>
      <c r="J6" s="466" t="s">
        <v>322</v>
      </c>
      <c r="K6" s="466" t="s">
        <v>323</v>
      </c>
      <c r="L6" s="466" t="s">
        <v>665</v>
      </c>
      <c r="M6" s="475" t="s">
        <v>314</v>
      </c>
      <c r="N6" s="475"/>
      <c r="O6" s="475"/>
      <c r="P6" s="466" t="s">
        <v>318</v>
      </c>
      <c r="Q6" s="466" t="s">
        <v>319</v>
      </c>
      <c r="R6" s="466" t="s">
        <v>320</v>
      </c>
      <c r="S6" s="466" t="s">
        <v>321</v>
      </c>
      <c r="T6" s="466" t="s">
        <v>322</v>
      </c>
      <c r="U6" s="472" t="s">
        <v>32</v>
      </c>
      <c r="V6" s="54"/>
      <c r="W6" s="54"/>
      <c r="X6" s="54"/>
    </row>
    <row r="7" spans="1:24" s="42" customFormat="1" ht="48.75" customHeight="1">
      <c r="A7" s="474"/>
      <c r="B7" s="466"/>
      <c r="C7" s="178" t="s">
        <v>315</v>
      </c>
      <c r="D7" s="178" t="s">
        <v>316</v>
      </c>
      <c r="E7" s="178" t="s">
        <v>317</v>
      </c>
      <c r="F7" s="466"/>
      <c r="G7" s="466"/>
      <c r="H7" s="466"/>
      <c r="I7" s="466"/>
      <c r="J7" s="466"/>
      <c r="K7" s="466"/>
      <c r="L7" s="466"/>
      <c r="M7" s="178" t="s">
        <v>315</v>
      </c>
      <c r="N7" s="178" t="s">
        <v>316</v>
      </c>
      <c r="O7" s="178" t="s">
        <v>317</v>
      </c>
      <c r="P7" s="466"/>
      <c r="Q7" s="466"/>
      <c r="R7" s="466"/>
      <c r="S7" s="466"/>
      <c r="T7" s="466"/>
      <c r="U7" s="472"/>
    </row>
    <row r="8" spans="1:24" ht="32.25" customHeight="1">
      <c r="A8" s="162" t="s">
        <v>48</v>
      </c>
      <c r="B8" s="318">
        <f t="shared" ref="B8:I8" si="0">L31</f>
        <v>0</v>
      </c>
      <c r="C8" s="318">
        <f t="shared" si="0"/>
        <v>0</v>
      </c>
      <c r="D8" s="318">
        <f t="shared" si="0"/>
        <v>0</v>
      </c>
      <c r="E8" s="319">
        <f t="shared" si="0"/>
        <v>0</v>
      </c>
      <c r="F8" s="318">
        <f t="shared" si="0"/>
        <v>0</v>
      </c>
      <c r="G8" s="318">
        <f t="shared" si="0"/>
        <v>0</v>
      </c>
      <c r="H8" s="318">
        <f t="shared" si="0"/>
        <v>0</v>
      </c>
      <c r="I8" s="318">
        <f t="shared" si="0"/>
        <v>0</v>
      </c>
      <c r="J8" s="318">
        <f>T31</f>
        <v>0</v>
      </c>
      <c r="K8" s="318">
        <f>B8+C8+D8+E8+F8-G8+H8+I8+J8</f>
        <v>0</v>
      </c>
      <c r="L8" s="320"/>
      <c r="M8" s="320"/>
      <c r="N8" s="320"/>
      <c r="O8" s="320"/>
      <c r="P8" s="320"/>
      <c r="Q8" s="320"/>
      <c r="R8" s="320"/>
      <c r="S8" s="320"/>
      <c r="T8" s="320"/>
      <c r="U8" s="321">
        <f>SUM(L8,M8,N8,O8,P8,R8,S8,T8)-Q8</f>
        <v>0</v>
      </c>
    </row>
    <row r="9" spans="1:24" ht="32.25" customHeight="1">
      <c r="A9" s="48" t="s">
        <v>220</v>
      </c>
      <c r="B9" s="51"/>
      <c r="C9" s="51"/>
      <c r="D9" s="51"/>
      <c r="E9" s="52"/>
      <c r="F9" s="51"/>
      <c r="G9" s="51"/>
      <c r="H9" s="51"/>
      <c r="I9" s="51"/>
      <c r="J9" s="51"/>
      <c r="K9" s="318">
        <f t="shared" ref="K9:K30" si="1">B9+C9+D9+E9+F9-G9+H9+I9+J9</f>
        <v>0</v>
      </c>
      <c r="L9" s="51"/>
      <c r="M9" s="51"/>
      <c r="N9" s="51"/>
      <c r="O9" s="51"/>
      <c r="P9" s="49"/>
      <c r="Q9" s="49"/>
      <c r="R9" s="49"/>
      <c r="S9" s="51"/>
      <c r="T9" s="51"/>
      <c r="U9" s="321">
        <f>SUM(L9,M9,N9,O9,P9,R9,S9,T9)-Q9</f>
        <v>0</v>
      </c>
    </row>
    <row r="10" spans="1:24" ht="32.25" customHeight="1">
      <c r="A10" s="48" t="s">
        <v>221</v>
      </c>
      <c r="B10" s="51"/>
      <c r="C10" s="51"/>
      <c r="D10" s="51"/>
      <c r="E10" s="52"/>
      <c r="F10" s="51"/>
      <c r="G10" s="51"/>
      <c r="H10" s="51"/>
      <c r="I10" s="51"/>
      <c r="J10" s="49"/>
      <c r="K10" s="318">
        <f t="shared" si="1"/>
        <v>0</v>
      </c>
      <c r="L10" s="51"/>
      <c r="M10" s="51"/>
      <c r="N10" s="51"/>
      <c r="O10" s="51"/>
      <c r="P10" s="49"/>
      <c r="Q10" s="49"/>
      <c r="R10" s="49"/>
      <c r="S10" s="51"/>
      <c r="T10" s="51"/>
      <c r="U10" s="321">
        <f>SUM(L10,M10,N10,O10,P10,R10,S10,T10)-Q10</f>
        <v>0</v>
      </c>
    </row>
    <row r="11" spans="1:24" ht="32.25" customHeight="1">
      <c r="A11" s="48" t="s">
        <v>522</v>
      </c>
      <c r="B11" s="51"/>
      <c r="C11" s="51"/>
      <c r="D11" s="51"/>
      <c r="E11" s="52"/>
      <c r="F11" s="51"/>
      <c r="G11" s="51"/>
      <c r="H11" s="51"/>
      <c r="I11" s="51"/>
      <c r="J11" s="49"/>
      <c r="K11" s="318">
        <f t="shared" si="1"/>
        <v>0</v>
      </c>
      <c r="L11" s="51"/>
      <c r="M11" s="51"/>
      <c r="N11" s="51"/>
      <c r="O11" s="51"/>
      <c r="P11" s="49"/>
      <c r="Q11" s="49"/>
      <c r="R11" s="49"/>
      <c r="S11" s="51"/>
      <c r="T11" s="51"/>
      <c r="U11" s="321">
        <f>SUM(L11,M11,N11,O11,P11,R11,S11,T11)-Q11</f>
        <v>0</v>
      </c>
    </row>
    <row r="12" spans="1:24" ht="32.25" customHeight="1">
      <c r="A12" s="162" t="s">
        <v>49</v>
      </c>
      <c r="B12" s="322">
        <f>B8+B9+B10+B11</f>
        <v>0</v>
      </c>
      <c r="C12" s="322">
        <f t="shared" ref="C12:U12" si="2">C8+C9+C10+C11</f>
        <v>0</v>
      </c>
      <c r="D12" s="322">
        <f t="shared" si="2"/>
        <v>0</v>
      </c>
      <c r="E12" s="322">
        <f t="shared" si="2"/>
        <v>0</v>
      </c>
      <c r="F12" s="322">
        <f t="shared" si="2"/>
        <v>0</v>
      </c>
      <c r="G12" s="322">
        <f t="shared" si="2"/>
        <v>0</v>
      </c>
      <c r="H12" s="322">
        <f t="shared" si="2"/>
        <v>0</v>
      </c>
      <c r="I12" s="322">
        <f t="shared" si="2"/>
        <v>0</v>
      </c>
      <c r="J12" s="322">
        <f t="shared" si="2"/>
        <v>0</v>
      </c>
      <c r="K12" s="322">
        <f t="shared" si="2"/>
        <v>0</v>
      </c>
      <c r="L12" s="322">
        <f t="shared" si="2"/>
        <v>0</v>
      </c>
      <c r="M12" s="322">
        <f t="shared" si="2"/>
        <v>0</v>
      </c>
      <c r="N12" s="322">
        <f t="shared" si="2"/>
        <v>0</v>
      </c>
      <c r="O12" s="322">
        <f t="shared" si="2"/>
        <v>0</v>
      </c>
      <c r="P12" s="322">
        <f t="shared" si="2"/>
        <v>0</v>
      </c>
      <c r="Q12" s="322">
        <f t="shared" si="2"/>
        <v>0</v>
      </c>
      <c r="R12" s="322">
        <f t="shared" si="2"/>
        <v>0</v>
      </c>
      <c r="S12" s="322">
        <f t="shared" si="2"/>
        <v>0</v>
      </c>
      <c r="T12" s="322">
        <f t="shared" si="2"/>
        <v>0</v>
      </c>
      <c r="U12" s="321">
        <f t="shared" si="2"/>
        <v>0</v>
      </c>
    </row>
    <row r="13" spans="1:24" ht="32.25" customHeight="1">
      <c r="A13" s="162" t="s">
        <v>50</v>
      </c>
      <c r="B13" s="322">
        <f>B14+B15+B20+B24</f>
        <v>0</v>
      </c>
      <c r="C13" s="322">
        <f t="shared" ref="C13:U13" si="3">C14+C15+C20+C24</f>
        <v>0</v>
      </c>
      <c r="D13" s="322">
        <f t="shared" si="3"/>
        <v>0</v>
      </c>
      <c r="E13" s="322">
        <f t="shared" si="3"/>
        <v>0</v>
      </c>
      <c r="F13" s="322">
        <f t="shared" si="3"/>
        <v>0</v>
      </c>
      <c r="G13" s="322">
        <f t="shared" si="3"/>
        <v>0</v>
      </c>
      <c r="H13" s="322">
        <f t="shared" si="3"/>
        <v>0</v>
      </c>
      <c r="I13" s="322">
        <f t="shared" si="3"/>
        <v>0</v>
      </c>
      <c r="J13" s="322">
        <f t="shared" si="3"/>
        <v>0</v>
      </c>
      <c r="K13" s="322">
        <f t="shared" si="3"/>
        <v>0</v>
      </c>
      <c r="L13" s="322">
        <f t="shared" si="3"/>
        <v>0</v>
      </c>
      <c r="M13" s="322">
        <f t="shared" si="3"/>
        <v>0</v>
      </c>
      <c r="N13" s="322">
        <f t="shared" si="3"/>
        <v>0</v>
      </c>
      <c r="O13" s="322">
        <f t="shared" si="3"/>
        <v>0</v>
      </c>
      <c r="P13" s="322">
        <f t="shared" si="3"/>
        <v>0</v>
      </c>
      <c r="Q13" s="322">
        <f t="shared" si="3"/>
        <v>0</v>
      </c>
      <c r="R13" s="322">
        <f t="shared" si="3"/>
        <v>0</v>
      </c>
      <c r="S13" s="322">
        <f t="shared" si="3"/>
        <v>0</v>
      </c>
      <c r="T13" s="322">
        <f t="shared" si="3"/>
        <v>0</v>
      </c>
      <c r="U13" s="321">
        <f t="shared" si="3"/>
        <v>0</v>
      </c>
    </row>
    <row r="14" spans="1:24" ht="32.25" customHeight="1">
      <c r="A14" s="48" t="s">
        <v>457</v>
      </c>
      <c r="B14" s="49"/>
      <c r="C14" s="49"/>
      <c r="D14" s="49"/>
      <c r="E14" s="50"/>
      <c r="F14" s="49"/>
      <c r="G14" s="49"/>
      <c r="H14" s="49"/>
      <c r="I14" s="49"/>
      <c r="J14" s="255">
        <f>'2-PL_CN'!B29</f>
        <v>0</v>
      </c>
      <c r="K14" s="318">
        <f t="shared" si="1"/>
        <v>0</v>
      </c>
      <c r="L14" s="49"/>
      <c r="M14" s="49"/>
      <c r="N14" s="49"/>
      <c r="O14" s="49"/>
      <c r="P14" s="49"/>
      <c r="Q14" s="49"/>
      <c r="R14" s="49"/>
      <c r="S14" s="49"/>
      <c r="T14" s="255">
        <f>'2-PL_CN'!C29</f>
        <v>0</v>
      </c>
      <c r="U14" s="253">
        <f>SUM(L14,M14,N14,O14,P14,R14,S14,T14)-Q14</f>
        <v>0</v>
      </c>
    </row>
    <row r="15" spans="1:24" ht="32.25" customHeight="1">
      <c r="A15" s="48" t="s">
        <v>324</v>
      </c>
      <c r="B15" s="255">
        <f>SUM(B16:B19)</f>
        <v>0</v>
      </c>
      <c r="C15" s="255">
        <f t="shared" ref="C15:U15" si="4">SUM(C16:C19)</f>
        <v>0</v>
      </c>
      <c r="D15" s="255">
        <f t="shared" si="4"/>
        <v>0</v>
      </c>
      <c r="E15" s="255">
        <f t="shared" si="4"/>
        <v>0</v>
      </c>
      <c r="F15" s="255">
        <f t="shared" si="4"/>
        <v>0</v>
      </c>
      <c r="G15" s="255">
        <f t="shared" si="4"/>
        <v>0</v>
      </c>
      <c r="H15" s="255">
        <f t="shared" si="4"/>
        <v>0</v>
      </c>
      <c r="I15" s="255">
        <f t="shared" si="4"/>
        <v>0</v>
      </c>
      <c r="J15" s="255">
        <f t="shared" si="4"/>
        <v>0</v>
      </c>
      <c r="K15" s="255">
        <f t="shared" si="4"/>
        <v>0</v>
      </c>
      <c r="L15" s="255">
        <f t="shared" si="4"/>
        <v>0</v>
      </c>
      <c r="M15" s="255">
        <f t="shared" si="4"/>
        <v>0</v>
      </c>
      <c r="N15" s="255">
        <f t="shared" si="4"/>
        <v>0</v>
      </c>
      <c r="O15" s="255">
        <f t="shared" si="4"/>
        <v>0</v>
      </c>
      <c r="P15" s="255">
        <f t="shared" si="4"/>
        <v>0</v>
      </c>
      <c r="Q15" s="255">
        <f t="shared" si="4"/>
        <v>0</v>
      </c>
      <c r="R15" s="255">
        <f t="shared" si="4"/>
        <v>0</v>
      </c>
      <c r="S15" s="255">
        <f t="shared" si="4"/>
        <v>0</v>
      </c>
      <c r="T15" s="255">
        <f t="shared" si="4"/>
        <v>0</v>
      </c>
      <c r="U15" s="253">
        <f t="shared" si="4"/>
        <v>0</v>
      </c>
    </row>
    <row r="16" spans="1:24" ht="32.25" customHeight="1">
      <c r="A16" s="48" t="s">
        <v>327</v>
      </c>
      <c r="B16" s="49"/>
      <c r="C16" s="49"/>
      <c r="D16" s="49"/>
      <c r="E16" s="50"/>
      <c r="F16" s="49"/>
      <c r="G16" s="49"/>
      <c r="H16" s="49"/>
      <c r="I16" s="49"/>
      <c r="J16" s="49"/>
      <c r="K16" s="318">
        <f t="shared" si="1"/>
        <v>0</v>
      </c>
      <c r="L16" s="49"/>
      <c r="M16" s="49"/>
      <c r="N16" s="49"/>
      <c r="O16" s="49"/>
      <c r="P16" s="49"/>
      <c r="Q16" s="49"/>
      <c r="R16" s="49"/>
      <c r="S16" s="49"/>
      <c r="T16" s="49"/>
      <c r="U16" s="253">
        <f>SUM(L16,M16,N16,O16,P16,R16,S16,T16)-Q16</f>
        <v>0</v>
      </c>
    </row>
    <row r="17" spans="1:24" ht="32.25" customHeight="1">
      <c r="A17" s="48" t="s">
        <v>328</v>
      </c>
      <c r="B17" s="49"/>
      <c r="C17" s="49"/>
      <c r="D17" s="49"/>
      <c r="E17" s="50"/>
      <c r="F17" s="49"/>
      <c r="G17" s="49"/>
      <c r="H17" s="49"/>
      <c r="I17" s="49"/>
      <c r="J17" s="49"/>
      <c r="K17" s="318">
        <f t="shared" si="1"/>
        <v>0</v>
      </c>
      <c r="L17" s="49"/>
      <c r="M17" s="49"/>
      <c r="N17" s="49"/>
      <c r="O17" s="49"/>
      <c r="P17" s="49"/>
      <c r="Q17" s="49"/>
      <c r="R17" s="49"/>
      <c r="S17" s="49"/>
      <c r="T17" s="49"/>
      <c r="U17" s="253">
        <f>SUM(L17,M17,N17,O17,P17,R17,S17,T17)-Q17</f>
        <v>0</v>
      </c>
    </row>
    <row r="18" spans="1:24" ht="32.25" customHeight="1">
      <c r="A18" s="48" t="s">
        <v>325</v>
      </c>
      <c r="B18" s="49"/>
      <c r="C18" s="49"/>
      <c r="D18" s="49"/>
      <c r="E18" s="50"/>
      <c r="F18" s="49"/>
      <c r="G18" s="49"/>
      <c r="H18" s="49"/>
      <c r="I18" s="49"/>
      <c r="J18" s="49"/>
      <c r="K18" s="318">
        <f t="shared" si="1"/>
        <v>0</v>
      </c>
      <c r="L18" s="49"/>
      <c r="M18" s="49"/>
      <c r="N18" s="49"/>
      <c r="O18" s="49"/>
      <c r="P18" s="49"/>
      <c r="Q18" s="49"/>
      <c r="R18" s="49"/>
      <c r="S18" s="49"/>
      <c r="T18" s="49"/>
      <c r="U18" s="253">
        <f>SUM(L18,M18,N18,O18,P18,R18,S18,T18)-Q18</f>
        <v>0</v>
      </c>
    </row>
    <row r="19" spans="1:24" ht="32.25" customHeight="1">
      <c r="A19" s="48" t="s">
        <v>326</v>
      </c>
      <c r="B19" s="49"/>
      <c r="C19" s="49"/>
      <c r="D19" s="49"/>
      <c r="E19" s="49"/>
      <c r="F19" s="49"/>
      <c r="G19" s="49"/>
      <c r="H19" s="49"/>
      <c r="I19" s="49"/>
      <c r="J19" s="49"/>
      <c r="K19" s="318">
        <f t="shared" si="1"/>
        <v>0</v>
      </c>
      <c r="L19" s="49"/>
      <c r="M19" s="49"/>
      <c r="N19" s="49"/>
      <c r="O19" s="49"/>
      <c r="P19" s="49"/>
      <c r="Q19" s="49"/>
      <c r="R19" s="49"/>
      <c r="S19" s="49"/>
      <c r="T19" s="49"/>
      <c r="U19" s="253">
        <f>SUM(L19,M19,N19,O19,P19,R19,S19,T19)-Q19</f>
        <v>0</v>
      </c>
    </row>
    <row r="20" spans="1:24" ht="32.25" customHeight="1">
      <c r="A20" s="48" t="s">
        <v>329</v>
      </c>
      <c r="B20" s="255">
        <f t="shared" ref="B20:U20" si="5">SUM(B21,B22:B23)</f>
        <v>0</v>
      </c>
      <c r="C20" s="255">
        <f t="shared" si="5"/>
        <v>0</v>
      </c>
      <c r="D20" s="255">
        <f t="shared" si="5"/>
        <v>0</v>
      </c>
      <c r="E20" s="255">
        <f t="shared" si="5"/>
        <v>0</v>
      </c>
      <c r="F20" s="255">
        <f t="shared" si="5"/>
        <v>0</v>
      </c>
      <c r="G20" s="255">
        <f t="shared" si="5"/>
        <v>0</v>
      </c>
      <c r="H20" s="255">
        <f t="shared" si="5"/>
        <v>0</v>
      </c>
      <c r="I20" s="255">
        <f t="shared" si="5"/>
        <v>0</v>
      </c>
      <c r="J20" s="255">
        <f t="shared" si="5"/>
        <v>0</v>
      </c>
      <c r="K20" s="255">
        <f t="shared" si="5"/>
        <v>0</v>
      </c>
      <c r="L20" s="255">
        <f t="shared" si="5"/>
        <v>0</v>
      </c>
      <c r="M20" s="255">
        <f t="shared" si="5"/>
        <v>0</v>
      </c>
      <c r="N20" s="255">
        <f t="shared" si="5"/>
        <v>0</v>
      </c>
      <c r="O20" s="255">
        <f t="shared" si="5"/>
        <v>0</v>
      </c>
      <c r="P20" s="255">
        <f t="shared" si="5"/>
        <v>0</v>
      </c>
      <c r="Q20" s="255">
        <f t="shared" si="5"/>
        <v>0</v>
      </c>
      <c r="R20" s="255">
        <f t="shared" si="5"/>
        <v>0</v>
      </c>
      <c r="S20" s="255">
        <f t="shared" si="5"/>
        <v>0</v>
      </c>
      <c r="T20" s="255">
        <f t="shared" si="5"/>
        <v>0</v>
      </c>
      <c r="U20" s="253">
        <f t="shared" si="5"/>
        <v>0</v>
      </c>
    </row>
    <row r="21" spans="1:24" ht="32.25" customHeight="1">
      <c r="A21" s="48" t="s">
        <v>51</v>
      </c>
      <c r="B21" s="49"/>
      <c r="C21" s="49"/>
      <c r="D21" s="49"/>
      <c r="E21" s="49"/>
      <c r="F21" s="49"/>
      <c r="G21" s="49"/>
      <c r="H21" s="49"/>
      <c r="I21" s="49"/>
      <c r="J21" s="49"/>
      <c r="K21" s="318">
        <f t="shared" si="1"/>
        <v>0</v>
      </c>
      <c r="L21" s="49"/>
      <c r="M21" s="49"/>
      <c r="N21" s="49"/>
      <c r="O21" s="49"/>
      <c r="P21" s="49"/>
      <c r="Q21" s="49"/>
      <c r="R21" s="49"/>
      <c r="S21" s="49"/>
      <c r="T21" s="49"/>
      <c r="U21" s="253">
        <f>SUM(L21,M21,N21,O21,P21,R21,S21,T21)-Q21</f>
        <v>0</v>
      </c>
    </row>
    <row r="22" spans="1:24" ht="32.25" customHeight="1">
      <c r="A22" s="48" t="s">
        <v>334</v>
      </c>
      <c r="B22" s="49"/>
      <c r="C22" s="49"/>
      <c r="D22" s="49"/>
      <c r="E22" s="49"/>
      <c r="F22" s="49"/>
      <c r="G22" s="49"/>
      <c r="H22" s="49"/>
      <c r="I22" s="49"/>
      <c r="J22" s="49"/>
      <c r="K22" s="318">
        <f t="shared" si="1"/>
        <v>0</v>
      </c>
      <c r="L22" s="49"/>
      <c r="M22" s="49"/>
      <c r="N22" s="49"/>
      <c r="O22" s="49"/>
      <c r="P22" s="49"/>
      <c r="Q22" s="49"/>
      <c r="R22" s="49"/>
      <c r="S22" s="49"/>
      <c r="T22" s="49"/>
      <c r="U22" s="253">
        <f>SUM(L22,M22,N22,O22,P22,R22,S22,T22)-Q22</f>
        <v>0</v>
      </c>
    </row>
    <row r="23" spans="1:24" ht="32.25" customHeight="1">
      <c r="A23" s="48" t="s">
        <v>335</v>
      </c>
      <c r="B23" s="49"/>
      <c r="C23" s="49"/>
      <c r="D23" s="49"/>
      <c r="E23" s="49"/>
      <c r="F23" s="49"/>
      <c r="G23" s="49"/>
      <c r="H23" s="49"/>
      <c r="I23" s="49"/>
      <c r="J23" s="49"/>
      <c r="K23" s="318">
        <f t="shared" si="1"/>
        <v>0</v>
      </c>
      <c r="L23" s="49"/>
      <c r="M23" s="49"/>
      <c r="N23" s="49"/>
      <c r="O23" s="49"/>
      <c r="P23" s="49"/>
      <c r="Q23" s="49"/>
      <c r="R23" s="49"/>
      <c r="S23" s="49"/>
      <c r="T23" s="49"/>
      <c r="U23" s="253">
        <f>SUM(L23,M23,N23,O23,P23,R23,S23,T23)-Q23</f>
        <v>0</v>
      </c>
    </row>
    <row r="24" spans="1:24" ht="32.25" customHeight="1">
      <c r="A24" s="48" t="s">
        <v>330</v>
      </c>
      <c r="B24" s="255">
        <f>SUM(B25:B30)</f>
        <v>0</v>
      </c>
      <c r="C24" s="255">
        <f t="shared" ref="C24:U24" si="6">SUM(C25:C30)</f>
        <v>0</v>
      </c>
      <c r="D24" s="255">
        <f t="shared" si="6"/>
        <v>0</v>
      </c>
      <c r="E24" s="255">
        <f t="shared" si="6"/>
        <v>0</v>
      </c>
      <c r="F24" s="255">
        <f t="shared" si="6"/>
        <v>0</v>
      </c>
      <c r="G24" s="255">
        <f t="shared" si="6"/>
        <v>0</v>
      </c>
      <c r="H24" s="255">
        <f t="shared" si="6"/>
        <v>0</v>
      </c>
      <c r="I24" s="255">
        <f t="shared" si="6"/>
        <v>0</v>
      </c>
      <c r="J24" s="255">
        <f t="shared" si="6"/>
        <v>0</v>
      </c>
      <c r="K24" s="255">
        <f t="shared" si="6"/>
        <v>0</v>
      </c>
      <c r="L24" s="255">
        <f t="shared" si="6"/>
        <v>0</v>
      </c>
      <c r="M24" s="255">
        <f t="shared" si="6"/>
        <v>0</v>
      </c>
      <c r="N24" s="255">
        <f t="shared" si="6"/>
        <v>0</v>
      </c>
      <c r="O24" s="255">
        <f t="shared" si="6"/>
        <v>0</v>
      </c>
      <c r="P24" s="255">
        <f t="shared" si="6"/>
        <v>0</v>
      </c>
      <c r="Q24" s="255">
        <f t="shared" si="6"/>
        <v>0</v>
      </c>
      <c r="R24" s="255">
        <f t="shared" si="6"/>
        <v>0</v>
      </c>
      <c r="S24" s="255">
        <f t="shared" si="6"/>
        <v>0</v>
      </c>
      <c r="T24" s="255">
        <f t="shared" si="6"/>
        <v>0</v>
      </c>
      <c r="U24" s="253">
        <f t="shared" si="6"/>
        <v>0</v>
      </c>
    </row>
    <row r="25" spans="1:24" ht="32.25" customHeight="1">
      <c r="A25" s="48" t="s">
        <v>331</v>
      </c>
      <c r="B25" s="49"/>
      <c r="C25" s="49"/>
      <c r="D25" s="49"/>
      <c r="E25" s="49"/>
      <c r="F25" s="49"/>
      <c r="G25" s="49"/>
      <c r="H25" s="49"/>
      <c r="I25" s="49"/>
      <c r="J25" s="49"/>
      <c r="K25" s="318">
        <f t="shared" si="1"/>
        <v>0</v>
      </c>
      <c r="L25" s="49"/>
      <c r="M25" s="49"/>
      <c r="N25" s="49"/>
      <c r="O25" s="49"/>
      <c r="P25" s="49"/>
      <c r="Q25" s="49"/>
      <c r="R25" s="49"/>
      <c r="S25" s="49"/>
      <c r="T25" s="49"/>
      <c r="U25" s="253">
        <f t="shared" ref="U25:U30" si="7">SUM(L25,M25,N25,O25,P25,R25,S25,T25)-Q25</f>
        <v>0</v>
      </c>
    </row>
    <row r="26" spans="1:24" ht="32.25" customHeight="1">
      <c r="A26" s="48" t="s">
        <v>332</v>
      </c>
      <c r="B26" s="49"/>
      <c r="C26" s="49"/>
      <c r="D26" s="49"/>
      <c r="E26" s="49"/>
      <c r="F26" s="49"/>
      <c r="G26" s="49"/>
      <c r="H26" s="49"/>
      <c r="I26" s="49"/>
      <c r="J26" s="49"/>
      <c r="K26" s="318">
        <f t="shared" si="1"/>
        <v>0</v>
      </c>
      <c r="L26" s="49"/>
      <c r="M26" s="49"/>
      <c r="N26" s="49"/>
      <c r="O26" s="49"/>
      <c r="P26" s="49"/>
      <c r="Q26" s="49"/>
      <c r="R26" s="49"/>
      <c r="S26" s="49"/>
      <c r="T26" s="49"/>
      <c r="U26" s="253">
        <f t="shared" si="7"/>
        <v>0</v>
      </c>
    </row>
    <row r="27" spans="1:24" ht="32.25" customHeight="1">
      <c r="A27" s="48" t="s">
        <v>52</v>
      </c>
      <c r="B27" s="49"/>
      <c r="C27" s="49"/>
      <c r="D27" s="49"/>
      <c r="E27" s="49"/>
      <c r="F27" s="49"/>
      <c r="G27" s="49"/>
      <c r="H27" s="49"/>
      <c r="I27" s="49"/>
      <c r="J27" s="49"/>
      <c r="K27" s="318">
        <f t="shared" si="1"/>
        <v>0</v>
      </c>
      <c r="L27" s="49"/>
      <c r="M27" s="49"/>
      <c r="N27" s="49"/>
      <c r="O27" s="49"/>
      <c r="P27" s="49"/>
      <c r="Q27" s="49"/>
      <c r="R27" s="49"/>
      <c r="S27" s="49"/>
      <c r="T27" s="49"/>
      <c r="U27" s="253">
        <f t="shared" si="7"/>
        <v>0</v>
      </c>
    </row>
    <row r="28" spans="1:24" ht="32.25" hidden="1" customHeight="1">
      <c r="A28" s="48" t="s">
        <v>333</v>
      </c>
      <c r="B28" s="49"/>
      <c r="C28" s="49"/>
      <c r="D28" s="49"/>
      <c r="E28" s="49"/>
      <c r="F28" s="49"/>
      <c r="G28" s="49"/>
      <c r="H28" s="49"/>
      <c r="I28" s="49"/>
      <c r="J28" s="49"/>
      <c r="K28" s="318">
        <f t="shared" si="1"/>
        <v>0</v>
      </c>
      <c r="L28" s="49"/>
      <c r="M28" s="49"/>
      <c r="N28" s="49"/>
      <c r="O28" s="49"/>
      <c r="P28" s="49"/>
      <c r="Q28" s="49"/>
      <c r="R28" s="49"/>
      <c r="S28" s="49"/>
      <c r="T28" s="49"/>
      <c r="U28" s="253">
        <f t="shared" si="7"/>
        <v>0</v>
      </c>
    </row>
    <row r="29" spans="1:24" ht="32.25" hidden="1" customHeight="1">
      <c r="A29" s="410" t="s">
        <v>660</v>
      </c>
      <c r="B29" s="49"/>
      <c r="C29" s="49"/>
      <c r="D29" s="49"/>
      <c r="E29" s="49"/>
      <c r="F29" s="49"/>
      <c r="G29" s="49"/>
      <c r="H29" s="49"/>
      <c r="I29" s="49"/>
      <c r="J29" s="49"/>
      <c r="K29" s="318">
        <f t="shared" si="1"/>
        <v>0</v>
      </c>
      <c r="L29" s="49"/>
      <c r="M29" s="49"/>
      <c r="N29" s="49"/>
      <c r="O29" s="49"/>
      <c r="P29" s="49"/>
      <c r="Q29" s="49"/>
      <c r="R29" s="49"/>
      <c r="S29" s="49"/>
      <c r="T29" s="49"/>
      <c r="U29" s="253">
        <f t="shared" si="7"/>
        <v>0</v>
      </c>
    </row>
    <row r="30" spans="1:24" ht="32.25" hidden="1" customHeight="1">
      <c r="A30" s="48" t="s">
        <v>659</v>
      </c>
      <c r="B30" s="49"/>
      <c r="C30" s="49"/>
      <c r="D30" s="49"/>
      <c r="E30" s="49"/>
      <c r="F30" s="49"/>
      <c r="G30" s="49"/>
      <c r="H30" s="49"/>
      <c r="I30" s="49"/>
      <c r="J30" s="49"/>
      <c r="K30" s="318">
        <f t="shared" si="1"/>
        <v>0</v>
      </c>
      <c r="L30" s="49"/>
      <c r="M30" s="49"/>
      <c r="N30" s="49"/>
      <c r="O30" s="49"/>
      <c r="P30" s="49"/>
      <c r="Q30" s="49"/>
      <c r="R30" s="49"/>
      <c r="S30" s="49"/>
      <c r="T30" s="49"/>
      <c r="U30" s="253">
        <f t="shared" si="7"/>
        <v>0</v>
      </c>
    </row>
    <row r="31" spans="1:24" ht="32.25" customHeight="1" thickBot="1">
      <c r="A31" s="257" t="s">
        <v>53</v>
      </c>
      <c r="B31" s="256">
        <f>B12+B13</f>
        <v>0</v>
      </c>
      <c r="C31" s="256">
        <f t="shared" ref="C31:U31" si="8">C12+C13</f>
        <v>0</v>
      </c>
      <c r="D31" s="256">
        <f t="shared" si="8"/>
        <v>0</v>
      </c>
      <c r="E31" s="256">
        <f t="shared" si="8"/>
        <v>0</v>
      </c>
      <c r="F31" s="256">
        <f t="shared" si="8"/>
        <v>0</v>
      </c>
      <c r="G31" s="256">
        <f t="shared" si="8"/>
        <v>0</v>
      </c>
      <c r="H31" s="256">
        <f t="shared" si="8"/>
        <v>0</v>
      </c>
      <c r="I31" s="256">
        <f t="shared" si="8"/>
        <v>0</v>
      </c>
      <c r="J31" s="256">
        <f t="shared" si="8"/>
        <v>0</v>
      </c>
      <c r="K31" s="256">
        <f t="shared" si="8"/>
        <v>0</v>
      </c>
      <c r="L31" s="256">
        <f t="shared" si="8"/>
        <v>0</v>
      </c>
      <c r="M31" s="256">
        <f t="shared" si="8"/>
        <v>0</v>
      </c>
      <c r="N31" s="256">
        <f t="shared" si="8"/>
        <v>0</v>
      </c>
      <c r="O31" s="256">
        <f t="shared" si="8"/>
        <v>0</v>
      </c>
      <c r="P31" s="256">
        <f t="shared" si="8"/>
        <v>0</v>
      </c>
      <c r="Q31" s="256">
        <f t="shared" si="8"/>
        <v>0</v>
      </c>
      <c r="R31" s="256">
        <f t="shared" si="8"/>
        <v>0</v>
      </c>
      <c r="S31" s="256">
        <f t="shared" si="8"/>
        <v>0</v>
      </c>
      <c r="T31" s="256">
        <f t="shared" si="8"/>
        <v>0</v>
      </c>
      <c r="U31" s="254">
        <f t="shared" si="8"/>
        <v>0</v>
      </c>
    </row>
    <row r="32" spans="1:24" s="245" customFormat="1" ht="48.75" customHeight="1">
      <c r="A32" s="243" t="s">
        <v>34</v>
      </c>
      <c r="B32" s="244"/>
      <c r="C32" s="244"/>
      <c r="D32" s="244"/>
      <c r="E32" s="244"/>
      <c r="F32" s="244"/>
      <c r="G32" s="244"/>
      <c r="H32" s="244"/>
      <c r="I32" s="244"/>
      <c r="J32" s="244"/>
      <c r="K32" s="244"/>
      <c r="L32" s="244" t="s">
        <v>35</v>
      </c>
      <c r="M32" s="244" t="s">
        <v>205</v>
      </c>
      <c r="N32" s="244"/>
      <c r="O32" s="244"/>
      <c r="P32" s="244"/>
      <c r="Q32" s="244"/>
      <c r="R32" s="244"/>
      <c r="S32" s="79"/>
      <c r="T32" s="79"/>
      <c r="U32" s="244"/>
      <c r="V32" s="45"/>
      <c r="W32" s="45"/>
      <c r="X32" s="45"/>
    </row>
    <row r="34" spans="1:24" s="240" customFormat="1" ht="24" customHeight="1">
      <c r="A34" s="237"/>
      <c r="B34" s="241">
        <f>B31-'1-BS_CN'!E35</f>
        <v>0</v>
      </c>
      <c r="F34" s="241">
        <f>F31-'1-BS_CN'!E39</f>
        <v>0</v>
      </c>
      <c r="I34" s="241">
        <f>I31-'1-BS_CN'!E43</f>
        <v>0</v>
      </c>
      <c r="J34" s="241">
        <f>J31-'1-BS_CN'!E44</f>
        <v>0</v>
      </c>
      <c r="K34" s="241">
        <f>K31-'1-BS_CN'!E45</f>
        <v>0</v>
      </c>
      <c r="L34" s="241">
        <f>L31-'1-BS_CN'!F35</f>
        <v>0</v>
      </c>
      <c r="P34" s="241">
        <f>P31-'1-BS_CN'!F39</f>
        <v>0</v>
      </c>
      <c r="S34" s="241">
        <f>S31-'1-BS_CN'!F43</f>
        <v>0</v>
      </c>
      <c r="T34" s="241">
        <f>T31-'1-BS_CN'!F44</f>
        <v>0</v>
      </c>
      <c r="U34" s="241">
        <f>U31-'1-BS_CN'!F45</f>
        <v>0</v>
      </c>
      <c r="V34" s="242"/>
      <c r="W34" s="242"/>
      <c r="X34" s="242"/>
    </row>
  </sheetData>
  <mergeCells count="23">
    <mergeCell ref="R6:R7"/>
    <mergeCell ref="C6:E6"/>
    <mergeCell ref="F6:F7"/>
    <mergeCell ref="G6:G7"/>
    <mergeCell ref="H6:H7"/>
    <mergeCell ref="I6:I7"/>
    <mergeCell ref="M6:O6"/>
    <mergeCell ref="L6:L7"/>
    <mergeCell ref="A1:U1"/>
    <mergeCell ref="A3:U3"/>
    <mergeCell ref="E4:K4"/>
    <mergeCell ref="B5:K5"/>
    <mergeCell ref="L5:U5"/>
    <mergeCell ref="A2:U2"/>
    <mergeCell ref="S6:S7"/>
    <mergeCell ref="T6:T7"/>
    <mergeCell ref="U6:U7"/>
    <mergeCell ref="A5:A7"/>
    <mergeCell ref="J6:J7"/>
    <mergeCell ref="K6:K7"/>
    <mergeCell ref="B6:B7"/>
    <mergeCell ref="P6:P7"/>
    <mergeCell ref="Q6:Q7"/>
  </mergeCells>
  <phoneticPr fontId="14" type="noConversion"/>
  <printOptions horizontalCentered="1"/>
  <pageMargins left="0.78740157480314965" right="0.78740157480314965" top="0.78740157480314965" bottom="0.78740157480314965" header="0.70866141732283472" footer="0.51181102362204722"/>
  <pageSetup paperSize="9" scale="45" orientation="landscape" blackAndWhite="1"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fitToPage="1"/>
  </sheetPr>
  <dimension ref="A1:U35"/>
  <sheetViews>
    <sheetView view="pageBreakPreview" zoomScale="60" zoomScaleNormal="70" workbookViewId="0">
      <pane xSplit="1" ySplit="7" topLeftCell="B8" activePane="bottomRight" state="frozen"/>
      <selection activeCell="D12" sqref="D12"/>
      <selection pane="topRight" activeCell="D12" sqref="D12"/>
      <selection pane="bottomLeft" activeCell="D12" sqref="D12"/>
      <selection pane="bottomRight" activeCell="A28" sqref="A28:XFD28"/>
    </sheetView>
  </sheetViews>
  <sheetFormatPr defaultColWidth="8.58203125" defaultRowHeight="13"/>
  <cols>
    <col min="1" max="1" width="86.33203125" style="64" customWidth="1"/>
    <col min="2" max="2" width="18.5" style="65" customWidth="1"/>
    <col min="3" max="5" width="10.75" style="65" hidden="1" customWidth="1"/>
    <col min="6" max="6" width="18.33203125" style="65" customWidth="1"/>
    <col min="7" max="7" width="11.58203125" style="65" hidden="1" customWidth="1"/>
    <col min="8" max="8" width="16.25" style="65" hidden="1" customWidth="1"/>
    <col min="9" max="10" width="18.33203125" style="65" customWidth="1"/>
    <col min="11" max="12" width="18.5" style="65" customWidth="1"/>
    <col min="13" max="15" width="10.75" style="65" hidden="1" customWidth="1"/>
    <col min="16" max="16" width="18.5" style="65" customWidth="1"/>
    <col min="17" max="17" width="10.58203125" style="65" hidden="1" customWidth="1"/>
    <col min="18" max="18" width="16.08203125" style="65" hidden="1" customWidth="1"/>
    <col min="19" max="21" width="18.5" style="65" customWidth="1"/>
    <col min="22" max="31" width="9" style="65" bestFit="1" customWidth="1"/>
    <col min="32" max="16384" width="8.58203125" style="65"/>
  </cols>
  <sheetData>
    <row r="1" spans="1:21" ht="26.25" customHeight="1">
      <c r="A1" s="476" t="str">
        <f>Basic!C1</f>
        <v>*****</v>
      </c>
      <c r="B1" s="476"/>
      <c r="C1" s="476"/>
      <c r="D1" s="476"/>
      <c r="E1" s="476"/>
      <c r="F1" s="476"/>
      <c r="G1" s="476"/>
      <c r="H1" s="476"/>
      <c r="I1" s="476"/>
      <c r="J1" s="476"/>
      <c r="K1" s="476"/>
      <c r="L1" s="476"/>
      <c r="M1" s="476"/>
      <c r="N1" s="476"/>
      <c r="O1" s="476"/>
      <c r="P1" s="476"/>
      <c r="Q1" s="476"/>
      <c r="R1" s="476"/>
      <c r="S1" s="476"/>
      <c r="T1" s="476"/>
      <c r="U1" s="476"/>
    </row>
    <row r="2" spans="1:21" ht="26.25" customHeight="1">
      <c r="A2" s="476" t="s">
        <v>255</v>
      </c>
      <c r="B2" s="476"/>
      <c r="C2" s="476"/>
      <c r="D2" s="476"/>
      <c r="E2" s="476"/>
      <c r="F2" s="476"/>
      <c r="G2" s="476"/>
      <c r="H2" s="476"/>
      <c r="I2" s="476"/>
      <c r="J2" s="476"/>
      <c r="K2" s="476"/>
      <c r="L2" s="476"/>
      <c r="M2" s="476"/>
      <c r="N2" s="476"/>
      <c r="O2" s="476"/>
      <c r="P2" s="476"/>
      <c r="Q2" s="476"/>
      <c r="R2" s="476"/>
      <c r="S2" s="476"/>
      <c r="T2" s="476"/>
      <c r="U2" s="476"/>
    </row>
    <row r="3" spans="1:21" ht="25.5" customHeight="1">
      <c r="A3" s="482" t="str">
        <f>Basic!C3</f>
        <v>For the year ended December 31, 2022</v>
      </c>
      <c r="B3" s="482"/>
      <c r="C3" s="482"/>
      <c r="D3" s="482"/>
      <c r="E3" s="482"/>
      <c r="F3" s="482"/>
      <c r="G3" s="482"/>
      <c r="H3" s="482"/>
      <c r="I3" s="482"/>
      <c r="J3" s="482"/>
      <c r="K3" s="482"/>
      <c r="L3" s="482"/>
      <c r="M3" s="482"/>
      <c r="N3" s="482"/>
      <c r="O3" s="482"/>
      <c r="P3" s="482"/>
      <c r="Q3" s="482"/>
      <c r="R3" s="482"/>
      <c r="S3" s="482"/>
      <c r="T3" s="482"/>
      <c r="U3" s="482"/>
    </row>
    <row r="4" spans="1:21" s="142" customFormat="1" ht="23.25" customHeight="1" thickBot="1">
      <c r="A4" s="141"/>
      <c r="H4" s="143"/>
      <c r="I4" s="143"/>
      <c r="J4" s="143"/>
      <c r="K4" s="143"/>
      <c r="U4" s="144" t="s">
        <v>173</v>
      </c>
    </row>
    <row r="5" spans="1:21" ht="33" customHeight="1">
      <c r="A5" s="483" t="s">
        <v>3</v>
      </c>
      <c r="B5" s="477" t="s">
        <v>695</v>
      </c>
      <c r="C5" s="477"/>
      <c r="D5" s="477"/>
      <c r="E5" s="477"/>
      <c r="F5" s="477"/>
      <c r="G5" s="477"/>
      <c r="H5" s="477"/>
      <c r="I5" s="477"/>
      <c r="J5" s="478"/>
      <c r="K5" s="477"/>
      <c r="L5" s="477" t="s">
        <v>696</v>
      </c>
      <c r="M5" s="477"/>
      <c r="N5" s="477"/>
      <c r="O5" s="477"/>
      <c r="P5" s="477"/>
      <c r="Q5" s="477"/>
      <c r="R5" s="477"/>
      <c r="S5" s="477"/>
      <c r="T5" s="477"/>
      <c r="U5" s="478"/>
    </row>
    <row r="6" spans="1:21" s="64" customFormat="1" ht="22.5" customHeight="1">
      <c r="A6" s="484"/>
      <c r="B6" s="479" t="s">
        <v>533</v>
      </c>
      <c r="C6" s="481" t="s">
        <v>345</v>
      </c>
      <c r="D6" s="481"/>
      <c r="E6" s="481"/>
      <c r="F6" s="479" t="s">
        <v>350</v>
      </c>
      <c r="G6" s="479" t="s">
        <v>534</v>
      </c>
      <c r="H6" s="479" t="s">
        <v>349</v>
      </c>
      <c r="I6" s="479" t="s">
        <v>17</v>
      </c>
      <c r="J6" s="479" t="s">
        <v>18</v>
      </c>
      <c r="K6" s="479" t="s">
        <v>15</v>
      </c>
      <c r="L6" s="485" t="s">
        <v>533</v>
      </c>
      <c r="M6" s="481" t="s">
        <v>345</v>
      </c>
      <c r="N6" s="481"/>
      <c r="O6" s="481"/>
      <c r="P6" s="479" t="s">
        <v>16</v>
      </c>
      <c r="Q6" s="479" t="s">
        <v>534</v>
      </c>
      <c r="R6" s="479" t="s">
        <v>349</v>
      </c>
      <c r="S6" s="479" t="s">
        <v>17</v>
      </c>
      <c r="T6" s="479" t="s">
        <v>19</v>
      </c>
      <c r="U6" s="480" t="s">
        <v>15</v>
      </c>
    </row>
    <row r="7" spans="1:21" s="64" customFormat="1" ht="78" customHeight="1">
      <c r="A7" s="484"/>
      <c r="B7" s="479"/>
      <c r="C7" s="314" t="s">
        <v>346</v>
      </c>
      <c r="D7" s="314" t="s">
        <v>535</v>
      </c>
      <c r="E7" s="314" t="s">
        <v>348</v>
      </c>
      <c r="F7" s="479"/>
      <c r="G7" s="479"/>
      <c r="H7" s="479"/>
      <c r="I7" s="479"/>
      <c r="J7" s="479"/>
      <c r="K7" s="479"/>
      <c r="L7" s="486"/>
      <c r="M7" s="314" t="s">
        <v>346</v>
      </c>
      <c r="N7" s="314" t="s">
        <v>535</v>
      </c>
      <c r="O7" s="314" t="s">
        <v>348</v>
      </c>
      <c r="P7" s="479"/>
      <c r="Q7" s="479"/>
      <c r="R7" s="479"/>
      <c r="S7" s="479"/>
      <c r="T7" s="479"/>
      <c r="U7" s="480"/>
    </row>
    <row r="8" spans="1:21" ht="33" customHeight="1">
      <c r="A8" s="139" t="s">
        <v>537</v>
      </c>
      <c r="B8" s="269">
        <f>L31</f>
        <v>0</v>
      </c>
      <c r="C8" s="269">
        <f t="shared" ref="C8:J8" si="0">M31</f>
        <v>0</v>
      </c>
      <c r="D8" s="269">
        <f t="shared" si="0"/>
        <v>0</v>
      </c>
      <c r="E8" s="269">
        <f t="shared" si="0"/>
        <v>0</v>
      </c>
      <c r="F8" s="269">
        <f t="shared" si="0"/>
        <v>0</v>
      </c>
      <c r="G8" s="269">
        <f t="shared" si="0"/>
        <v>0</v>
      </c>
      <c r="H8" s="269">
        <f t="shared" si="0"/>
        <v>0</v>
      </c>
      <c r="I8" s="269">
        <f t="shared" si="0"/>
        <v>0</v>
      </c>
      <c r="J8" s="269">
        <f t="shared" si="0"/>
        <v>0</v>
      </c>
      <c r="K8" s="269">
        <f>SUM(B8,C8,D8,E8,F8,H8,I8,J8)-G8</f>
        <v>0</v>
      </c>
      <c r="L8" s="269">
        <f>'4-OE_CN'!L8</f>
        <v>0</v>
      </c>
      <c r="M8" s="269">
        <f>'4-OE_CN'!M8</f>
        <v>0</v>
      </c>
      <c r="N8" s="269">
        <f>'4-OE_CN'!N8</f>
        <v>0</v>
      </c>
      <c r="O8" s="269">
        <f>'4-OE_CN'!O8</f>
        <v>0</v>
      </c>
      <c r="P8" s="269">
        <f>'4-OE_CN'!P8</f>
        <v>0</v>
      </c>
      <c r="Q8" s="269">
        <f>'4-OE_CN'!Q8</f>
        <v>0</v>
      </c>
      <c r="R8" s="269">
        <f>'4-OE_CN'!R8</f>
        <v>0</v>
      </c>
      <c r="S8" s="269">
        <f>'4-OE_CN'!S8</f>
        <v>0</v>
      </c>
      <c r="T8" s="269">
        <f>'4-OE_CN'!T8</f>
        <v>0</v>
      </c>
      <c r="U8" s="323">
        <f>SUM(L8,M8,N8,O8,P8,R8,S8,T8)-Q8</f>
        <v>0</v>
      </c>
    </row>
    <row r="9" spans="1:21" ht="33" customHeight="1">
      <c r="A9" s="140" t="s">
        <v>236</v>
      </c>
      <c r="B9" s="295">
        <f>'4-OE_CN'!B9</f>
        <v>0</v>
      </c>
      <c r="C9" s="295">
        <f>'4-OE_CN'!C9</f>
        <v>0</v>
      </c>
      <c r="D9" s="295">
        <f>'4-OE_CN'!D9</f>
        <v>0</v>
      </c>
      <c r="E9" s="295">
        <f>'4-OE_CN'!E9</f>
        <v>0</v>
      </c>
      <c r="F9" s="295">
        <f>'4-OE_CN'!F9</f>
        <v>0</v>
      </c>
      <c r="G9" s="295">
        <f>'4-OE_CN'!G9</f>
        <v>0</v>
      </c>
      <c r="H9" s="295">
        <f>'4-OE_CN'!H9</f>
        <v>0</v>
      </c>
      <c r="I9" s="295">
        <f>'4-OE_CN'!I9</f>
        <v>0</v>
      </c>
      <c r="J9" s="295">
        <f>'4-OE_CN'!J9</f>
        <v>0</v>
      </c>
      <c r="K9" s="295">
        <f>SUM(B9,C9,D9,E9,F9,H9,I9,J9)-G9</f>
        <v>0</v>
      </c>
      <c r="L9" s="295">
        <f>'4-OE_CN'!L9</f>
        <v>0</v>
      </c>
      <c r="M9" s="295">
        <f>'4-OE_CN'!M9</f>
        <v>0</v>
      </c>
      <c r="N9" s="295">
        <f>'4-OE_CN'!N9</f>
        <v>0</v>
      </c>
      <c r="O9" s="295">
        <f>'4-OE_CN'!O9</f>
        <v>0</v>
      </c>
      <c r="P9" s="295">
        <f>'4-OE_CN'!P9</f>
        <v>0</v>
      </c>
      <c r="Q9" s="295">
        <f>'4-OE_CN'!Q9</f>
        <v>0</v>
      </c>
      <c r="R9" s="295">
        <f>'4-OE_CN'!R9</f>
        <v>0</v>
      </c>
      <c r="S9" s="295">
        <f>'4-OE_CN'!S9</f>
        <v>0</v>
      </c>
      <c r="T9" s="295">
        <f>'4-OE_CN'!T9</f>
        <v>0</v>
      </c>
      <c r="U9" s="296">
        <f>SUM(L9,M9,N9,O9,P9,R9,S9,T9)-Q9</f>
        <v>0</v>
      </c>
    </row>
    <row r="10" spans="1:21" ht="33" customHeight="1">
      <c r="A10" s="140" t="s">
        <v>256</v>
      </c>
      <c r="B10" s="295">
        <f>'4-OE_CN'!B10</f>
        <v>0</v>
      </c>
      <c r="C10" s="295">
        <f>'4-OE_CN'!C10</f>
        <v>0</v>
      </c>
      <c r="D10" s="295">
        <f>'4-OE_CN'!D10</f>
        <v>0</v>
      </c>
      <c r="E10" s="295">
        <f>'4-OE_CN'!E10</f>
        <v>0</v>
      </c>
      <c r="F10" s="295">
        <f>'4-OE_CN'!F10</f>
        <v>0</v>
      </c>
      <c r="G10" s="295">
        <f>'4-OE_CN'!G10</f>
        <v>0</v>
      </c>
      <c r="H10" s="295">
        <f>'4-OE_CN'!H10</f>
        <v>0</v>
      </c>
      <c r="I10" s="295">
        <f>'4-OE_CN'!I10</f>
        <v>0</v>
      </c>
      <c r="J10" s="295">
        <f>'4-OE_CN'!J10</f>
        <v>0</v>
      </c>
      <c r="K10" s="295">
        <f>SUM(B10,C10,D10,E10,F10,H10,I10,J10)-G10</f>
        <v>0</v>
      </c>
      <c r="L10" s="295">
        <f>'4-OE_CN'!L10</f>
        <v>0</v>
      </c>
      <c r="M10" s="295">
        <f>'4-OE_CN'!M10</f>
        <v>0</v>
      </c>
      <c r="N10" s="295">
        <f>'4-OE_CN'!N10</f>
        <v>0</v>
      </c>
      <c r="O10" s="295">
        <f>'4-OE_CN'!O10</f>
        <v>0</v>
      </c>
      <c r="P10" s="295">
        <f>'4-OE_CN'!P10</f>
        <v>0</v>
      </c>
      <c r="Q10" s="295">
        <f>'4-OE_CN'!Q10</f>
        <v>0</v>
      </c>
      <c r="R10" s="295">
        <f>'4-OE_CN'!R10</f>
        <v>0</v>
      </c>
      <c r="S10" s="295">
        <f>'4-OE_CN'!S10</f>
        <v>0</v>
      </c>
      <c r="T10" s="295">
        <f>'4-OE_CN'!T10</f>
        <v>0</v>
      </c>
      <c r="U10" s="296">
        <f>SUM(L10,M10,N10,O10,P10,R10,S10,T10)-Q10</f>
        <v>0</v>
      </c>
    </row>
    <row r="11" spans="1:21" ht="33" customHeight="1">
      <c r="A11" s="140" t="s">
        <v>532</v>
      </c>
      <c r="B11" s="295">
        <f>'4-OE_CN'!B11</f>
        <v>0</v>
      </c>
      <c r="C11" s="295">
        <f>'4-OE_CN'!C11</f>
        <v>0</v>
      </c>
      <c r="D11" s="295">
        <f>'4-OE_CN'!D11</f>
        <v>0</v>
      </c>
      <c r="E11" s="295">
        <f>'4-OE_CN'!E11</f>
        <v>0</v>
      </c>
      <c r="F11" s="295">
        <f>'4-OE_CN'!F11</f>
        <v>0</v>
      </c>
      <c r="G11" s="295">
        <f>'4-OE_CN'!G11</f>
        <v>0</v>
      </c>
      <c r="H11" s="295">
        <f>'4-OE_CN'!H11</f>
        <v>0</v>
      </c>
      <c r="I11" s="295">
        <f>'4-OE_CN'!I11</f>
        <v>0</v>
      </c>
      <c r="J11" s="295">
        <f>'4-OE_CN'!J11</f>
        <v>0</v>
      </c>
      <c r="K11" s="295">
        <f>SUM(B11,C11,D11,E11,F11,H11,I11,J11)-G11</f>
        <v>0</v>
      </c>
      <c r="L11" s="295">
        <f>'4-OE_CN'!L11</f>
        <v>0</v>
      </c>
      <c r="M11" s="295">
        <f>'4-OE_CN'!M11</f>
        <v>0</v>
      </c>
      <c r="N11" s="295">
        <f>'4-OE_CN'!N11</f>
        <v>0</v>
      </c>
      <c r="O11" s="295">
        <f>'4-OE_CN'!O11</f>
        <v>0</v>
      </c>
      <c r="P11" s="295">
        <f>'4-OE_CN'!P11</f>
        <v>0</v>
      </c>
      <c r="Q11" s="295">
        <f>'4-OE_CN'!Q11</f>
        <v>0</v>
      </c>
      <c r="R11" s="295">
        <f>'4-OE_CN'!R11</f>
        <v>0</v>
      </c>
      <c r="S11" s="295">
        <f>'4-OE_CN'!S11</f>
        <v>0</v>
      </c>
      <c r="T11" s="295">
        <f>'4-OE_CN'!T11</f>
        <v>0</v>
      </c>
      <c r="U11" s="296">
        <f>SUM(L11,M11,N11,O11,P11,R11,S11,T11)-Q11</f>
        <v>0</v>
      </c>
    </row>
    <row r="12" spans="1:21" ht="33" customHeight="1">
      <c r="A12" s="139" t="s">
        <v>536</v>
      </c>
      <c r="B12" s="269">
        <f>SUM(B8:B11)</f>
        <v>0</v>
      </c>
      <c r="C12" s="269">
        <f t="shared" ref="C12:K12" si="1">SUM(C8:C11)</f>
        <v>0</v>
      </c>
      <c r="D12" s="269">
        <f t="shared" si="1"/>
        <v>0</v>
      </c>
      <c r="E12" s="269">
        <f t="shared" si="1"/>
        <v>0</v>
      </c>
      <c r="F12" s="269">
        <f t="shared" si="1"/>
        <v>0</v>
      </c>
      <c r="G12" s="269">
        <f t="shared" si="1"/>
        <v>0</v>
      </c>
      <c r="H12" s="269">
        <f t="shared" si="1"/>
        <v>0</v>
      </c>
      <c r="I12" s="269">
        <f t="shared" si="1"/>
        <v>0</v>
      </c>
      <c r="J12" s="269">
        <f t="shared" si="1"/>
        <v>0</v>
      </c>
      <c r="K12" s="269">
        <f t="shared" si="1"/>
        <v>0</v>
      </c>
      <c r="L12" s="269">
        <f t="shared" ref="L12:U12" si="2">SUM(L8:L11)</f>
        <v>0</v>
      </c>
      <c r="M12" s="269">
        <f t="shared" si="2"/>
        <v>0</v>
      </c>
      <c r="N12" s="269">
        <f t="shared" si="2"/>
        <v>0</v>
      </c>
      <c r="O12" s="269">
        <f t="shared" si="2"/>
        <v>0</v>
      </c>
      <c r="P12" s="269">
        <f t="shared" si="2"/>
        <v>0</v>
      </c>
      <c r="Q12" s="269">
        <f t="shared" si="2"/>
        <v>0</v>
      </c>
      <c r="R12" s="269">
        <f t="shared" si="2"/>
        <v>0</v>
      </c>
      <c r="S12" s="269">
        <f t="shared" si="2"/>
        <v>0</v>
      </c>
      <c r="T12" s="269">
        <f t="shared" si="2"/>
        <v>0</v>
      </c>
      <c r="U12" s="323">
        <f t="shared" si="2"/>
        <v>0</v>
      </c>
    </row>
    <row r="13" spans="1:21" ht="33" customHeight="1">
      <c r="A13" s="139" t="s">
        <v>237</v>
      </c>
      <c r="B13" s="269">
        <f>B14+B15+B20+B24</f>
        <v>0</v>
      </c>
      <c r="C13" s="269">
        <f t="shared" ref="C13:U13" si="3">C14+C15+C20+C24</f>
        <v>0</v>
      </c>
      <c r="D13" s="269">
        <f t="shared" si="3"/>
        <v>0</v>
      </c>
      <c r="E13" s="269">
        <f t="shared" si="3"/>
        <v>0</v>
      </c>
      <c r="F13" s="269">
        <f t="shared" si="3"/>
        <v>0</v>
      </c>
      <c r="G13" s="269">
        <f t="shared" si="3"/>
        <v>0</v>
      </c>
      <c r="H13" s="269">
        <f t="shared" si="3"/>
        <v>0</v>
      </c>
      <c r="I13" s="269">
        <f t="shared" si="3"/>
        <v>0</v>
      </c>
      <c r="J13" s="269">
        <f t="shared" si="3"/>
        <v>0</v>
      </c>
      <c r="K13" s="269">
        <f t="shared" si="3"/>
        <v>0</v>
      </c>
      <c r="L13" s="269">
        <f t="shared" si="3"/>
        <v>0</v>
      </c>
      <c r="M13" s="269">
        <f t="shared" si="3"/>
        <v>0</v>
      </c>
      <c r="N13" s="269">
        <f t="shared" si="3"/>
        <v>0</v>
      </c>
      <c r="O13" s="269">
        <f t="shared" si="3"/>
        <v>0</v>
      </c>
      <c r="P13" s="269">
        <f t="shared" si="3"/>
        <v>0</v>
      </c>
      <c r="Q13" s="269">
        <f t="shared" si="3"/>
        <v>0</v>
      </c>
      <c r="R13" s="269">
        <f t="shared" si="3"/>
        <v>0</v>
      </c>
      <c r="S13" s="269">
        <f t="shared" si="3"/>
        <v>0</v>
      </c>
      <c r="T13" s="269">
        <f t="shared" si="3"/>
        <v>0</v>
      </c>
      <c r="U13" s="323">
        <f t="shared" si="3"/>
        <v>0</v>
      </c>
    </row>
    <row r="14" spans="1:21" ht="33" customHeight="1">
      <c r="A14" s="140" t="s">
        <v>458</v>
      </c>
      <c r="B14" s="295">
        <f>'4-OE_CN'!B14</f>
        <v>0</v>
      </c>
      <c r="C14" s="295">
        <f>'4-OE_CN'!C14</f>
        <v>0</v>
      </c>
      <c r="D14" s="295">
        <f>'4-OE_CN'!D14</f>
        <v>0</v>
      </c>
      <c r="E14" s="295">
        <f>'4-OE_CN'!E14</f>
        <v>0</v>
      </c>
      <c r="F14" s="295">
        <f>'4-OE_CN'!F14</f>
        <v>0</v>
      </c>
      <c r="G14" s="295">
        <f>'4-OE_CN'!G14</f>
        <v>0</v>
      </c>
      <c r="H14" s="295">
        <f>'4-OE_CN'!H14</f>
        <v>0</v>
      </c>
      <c r="I14" s="295">
        <f>'4-OE_CN'!I14</f>
        <v>0</v>
      </c>
      <c r="J14" s="295">
        <f>'2-PL_EN'!D29</f>
        <v>0</v>
      </c>
      <c r="K14" s="295">
        <f>SUM(B14,C14,D14,E14,F14,H14,I14,J14)-G14</f>
        <v>0</v>
      </c>
      <c r="L14" s="295">
        <f>'4-OE_CN'!L14</f>
        <v>0</v>
      </c>
      <c r="M14" s="295">
        <f>'4-OE_CN'!M14</f>
        <v>0</v>
      </c>
      <c r="N14" s="295">
        <f>'4-OE_CN'!N14</f>
        <v>0</v>
      </c>
      <c r="O14" s="295">
        <f>'4-OE_CN'!O14</f>
        <v>0</v>
      </c>
      <c r="P14" s="295">
        <f>'4-OE_CN'!P14</f>
        <v>0</v>
      </c>
      <c r="Q14" s="295">
        <f>'4-OE_CN'!Q14</f>
        <v>0</v>
      </c>
      <c r="R14" s="295">
        <f>'4-OE_CN'!R14</f>
        <v>0</v>
      </c>
      <c r="S14" s="295">
        <f>'4-OE_CN'!S14</f>
        <v>0</v>
      </c>
      <c r="T14" s="295">
        <f>'2-PL_EN'!E29</f>
        <v>0</v>
      </c>
      <c r="U14" s="296">
        <f>SUM(L14,M14,N14,O14,P14,R14,S14,T14)-Q14</f>
        <v>0</v>
      </c>
    </row>
    <row r="15" spans="1:21" ht="33" customHeight="1">
      <c r="A15" s="140" t="s">
        <v>351</v>
      </c>
      <c r="B15" s="295">
        <f>SUM(B16:B19)</f>
        <v>0</v>
      </c>
      <c r="C15" s="295">
        <f t="shared" ref="C15:U15" si="4">SUM(C16:C19)</f>
        <v>0</v>
      </c>
      <c r="D15" s="295">
        <f t="shared" si="4"/>
        <v>0</v>
      </c>
      <c r="E15" s="295">
        <f t="shared" si="4"/>
        <v>0</v>
      </c>
      <c r="F15" s="295">
        <f t="shared" si="4"/>
        <v>0</v>
      </c>
      <c r="G15" s="295">
        <f t="shared" si="4"/>
        <v>0</v>
      </c>
      <c r="H15" s="295">
        <f t="shared" si="4"/>
        <v>0</v>
      </c>
      <c r="I15" s="295">
        <f t="shared" si="4"/>
        <v>0</v>
      </c>
      <c r="J15" s="295">
        <f t="shared" si="4"/>
        <v>0</v>
      </c>
      <c r="K15" s="295">
        <f t="shared" si="4"/>
        <v>0</v>
      </c>
      <c r="L15" s="295">
        <f t="shared" si="4"/>
        <v>0</v>
      </c>
      <c r="M15" s="295">
        <f t="shared" si="4"/>
        <v>0</v>
      </c>
      <c r="N15" s="295">
        <f t="shared" si="4"/>
        <v>0</v>
      </c>
      <c r="O15" s="295">
        <f t="shared" si="4"/>
        <v>0</v>
      </c>
      <c r="P15" s="295">
        <f t="shared" si="4"/>
        <v>0</v>
      </c>
      <c r="Q15" s="295">
        <f t="shared" si="4"/>
        <v>0</v>
      </c>
      <c r="R15" s="295">
        <f t="shared" si="4"/>
        <v>0</v>
      </c>
      <c r="S15" s="295">
        <f t="shared" si="4"/>
        <v>0</v>
      </c>
      <c r="T15" s="295">
        <f t="shared" si="4"/>
        <v>0</v>
      </c>
      <c r="U15" s="296">
        <f t="shared" si="4"/>
        <v>0</v>
      </c>
    </row>
    <row r="16" spans="1:21" ht="33" customHeight="1">
      <c r="A16" s="290" t="s">
        <v>238</v>
      </c>
      <c r="B16" s="295">
        <f>'4-OE_CN'!B16</f>
        <v>0</v>
      </c>
      <c r="C16" s="295">
        <f>'4-OE_CN'!C16</f>
        <v>0</v>
      </c>
      <c r="D16" s="295">
        <f>'4-OE_CN'!D16</f>
        <v>0</v>
      </c>
      <c r="E16" s="295">
        <f>'4-OE_CN'!E16</f>
        <v>0</v>
      </c>
      <c r="F16" s="295">
        <f>'4-OE_CN'!F16</f>
        <v>0</v>
      </c>
      <c r="G16" s="295">
        <f>'4-OE_CN'!G16</f>
        <v>0</v>
      </c>
      <c r="H16" s="295">
        <f>'4-OE_CN'!H16</f>
        <v>0</v>
      </c>
      <c r="I16" s="295">
        <f>'4-OE_CN'!I16</f>
        <v>0</v>
      </c>
      <c r="J16" s="295">
        <f>'4-OE_CN'!J16</f>
        <v>0</v>
      </c>
      <c r="K16" s="295">
        <f>SUM(B16,C16,D16,E16,F16,H16,I16,J16)-G16</f>
        <v>0</v>
      </c>
      <c r="L16" s="295">
        <f>'4-OE_CN'!L16</f>
        <v>0</v>
      </c>
      <c r="M16" s="295">
        <f>'4-OE_CN'!M16</f>
        <v>0</v>
      </c>
      <c r="N16" s="295">
        <f>'4-OE_CN'!N16</f>
        <v>0</v>
      </c>
      <c r="O16" s="295">
        <f>'4-OE_CN'!O16</f>
        <v>0</v>
      </c>
      <c r="P16" s="295">
        <f>'4-OE_CN'!P16</f>
        <v>0</v>
      </c>
      <c r="Q16" s="295">
        <f>'4-OE_CN'!Q16</f>
        <v>0</v>
      </c>
      <c r="R16" s="295">
        <f>'4-OE_CN'!R16</f>
        <v>0</v>
      </c>
      <c r="S16" s="295">
        <f>'4-OE_CN'!S16</f>
        <v>0</v>
      </c>
      <c r="T16" s="295">
        <f>'4-OE_CN'!T16</f>
        <v>0</v>
      </c>
      <c r="U16" s="296">
        <f>SUM(L16,M16,N16,O16,P16,R16,S16,T16)-Q16</f>
        <v>0</v>
      </c>
    </row>
    <row r="17" spans="1:21" ht="33" customHeight="1">
      <c r="A17" s="291" t="s">
        <v>357</v>
      </c>
      <c r="B17" s="295">
        <f>'4-OE_CN'!B17</f>
        <v>0</v>
      </c>
      <c r="C17" s="295">
        <f>'4-OE_CN'!C17</f>
        <v>0</v>
      </c>
      <c r="D17" s="295">
        <f>'4-OE_CN'!D17</f>
        <v>0</v>
      </c>
      <c r="E17" s="295">
        <f>'4-OE_CN'!E17</f>
        <v>0</v>
      </c>
      <c r="F17" s="295">
        <f>'4-OE_CN'!F17</f>
        <v>0</v>
      </c>
      <c r="G17" s="295">
        <f>'4-OE_CN'!G17</f>
        <v>0</v>
      </c>
      <c r="H17" s="295">
        <f>'4-OE_CN'!H17</f>
        <v>0</v>
      </c>
      <c r="I17" s="295">
        <f>'4-OE_CN'!I17</f>
        <v>0</v>
      </c>
      <c r="J17" s="295">
        <f>'4-OE_CN'!J17</f>
        <v>0</v>
      </c>
      <c r="K17" s="295">
        <f>SUM(B17,C17,D17,E17,F17,H17,I17,J17)-G17</f>
        <v>0</v>
      </c>
      <c r="L17" s="295">
        <f>'4-OE_CN'!L17</f>
        <v>0</v>
      </c>
      <c r="M17" s="295">
        <f>'4-OE_CN'!M17</f>
        <v>0</v>
      </c>
      <c r="N17" s="295">
        <f>'4-OE_CN'!N17</f>
        <v>0</v>
      </c>
      <c r="O17" s="295">
        <f>'4-OE_CN'!O17</f>
        <v>0</v>
      </c>
      <c r="P17" s="295">
        <f>'4-OE_CN'!P17</f>
        <v>0</v>
      </c>
      <c r="Q17" s="295">
        <f>'4-OE_CN'!Q17</f>
        <v>0</v>
      </c>
      <c r="R17" s="295">
        <f>'4-OE_CN'!R17</f>
        <v>0</v>
      </c>
      <c r="S17" s="295">
        <f>'4-OE_CN'!S17</f>
        <v>0</v>
      </c>
      <c r="T17" s="295">
        <f>'4-OE_CN'!T17</f>
        <v>0</v>
      </c>
      <c r="U17" s="296">
        <f>SUM(L17,M17,N17,O17,P17,R17,S17,T17)-Q17</f>
        <v>0</v>
      </c>
    </row>
    <row r="18" spans="1:21" ht="33" customHeight="1">
      <c r="A18" s="291" t="s">
        <v>358</v>
      </c>
      <c r="B18" s="295">
        <f>'4-OE_CN'!B18</f>
        <v>0</v>
      </c>
      <c r="C18" s="295">
        <f>'4-OE_CN'!C18</f>
        <v>0</v>
      </c>
      <c r="D18" s="295">
        <f>'4-OE_CN'!D18</f>
        <v>0</v>
      </c>
      <c r="E18" s="295">
        <f>'4-OE_CN'!E18</f>
        <v>0</v>
      </c>
      <c r="F18" s="295">
        <f>'4-OE_CN'!F18</f>
        <v>0</v>
      </c>
      <c r="G18" s="295">
        <f>'4-OE_CN'!G18</f>
        <v>0</v>
      </c>
      <c r="H18" s="295">
        <f>'4-OE_CN'!H18</f>
        <v>0</v>
      </c>
      <c r="I18" s="295">
        <f>'4-OE_CN'!I18</f>
        <v>0</v>
      </c>
      <c r="J18" s="295">
        <f>'4-OE_CN'!J18</f>
        <v>0</v>
      </c>
      <c r="K18" s="295">
        <f>SUM(B18,C18,D18,E18,F18,H18,I18,J18)-G18</f>
        <v>0</v>
      </c>
      <c r="L18" s="295">
        <f>'4-OE_CN'!L18</f>
        <v>0</v>
      </c>
      <c r="M18" s="295">
        <f>'4-OE_CN'!M18</f>
        <v>0</v>
      </c>
      <c r="N18" s="295">
        <f>'4-OE_CN'!N18</f>
        <v>0</v>
      </c>
      <c r="O18" s="295">
        <f>'4-OE_CN'!O18</f>
        <v>0</v>
      </c>
      <c r="P18" s="295">
        <f>'4-OE_CN'!P18</f>
        <v>0</v>
      </c>
      <c r="Q18" s="295">
        <f>'4-OE_CN'!Q18</f>
        <v>0</v>
      </c>
      <c r="R18" s="295">
        <f>'4-OE_CN'!R18</f>
        <v>0</v>
      </c>
      <c r="S18" s="295">
        <f>'4-OE_CN'!S18</f>
        <v>0</v>
      </c>
      <c r="T18" s="295">
        <f>'4-OE_CN'!T18</f>
        <v>0</v>
      </c>
      <c r="U18" s="296">
        <f>SUM(L18,M18,N18,O18,P18,R18,S18,T18)-Q18</f>
        <v>0</v>
      </c>
    </row>
    <row r="19" spans="1:21" ht="33" customHeight="1">
      <c r="A19" s="291" t="s">
        <v>352</v>
      </c>
      <c r="B19" s="295">
        <f>'4-OE_CN'!B19</f>
        <v>0</v>
      </c>
      <c r="C19" s="295">
        <f>'4-OE_CN'!C19</f>
        <v>0</v>
      </c>
      <c r="D19" s="295">
        <f>'4-OE_CN'!D19</f>
        <v>0</v>
      </c>
      <c r="E19" s="295">
        <f>'4-OE_CN'!E19</f>
        <v>0</v>
      </c>
      <c r="F19" s="295">
        <f>'4-OE_CN'!F19</f>
        <v>0</v>
      </c>
      <c r="G19" s="295">
        <f>'4-OE_CN'!G19</f>
        <v>0</v>
      </c>
      <c r="H19" s="295">
        <f>'4-OE_CN'!H19</f>
        <v>0</v>
      </c>
      <c r="I19" s="295">
        <f>'4-OE_CN'!I19</f>
        <v>0</v>
      </c>
      <c r="J19" s="295">
        <f>'4-OE_CN'!J19</f>
        <v>0</v>
      </c>
      <c r="K19" s="295">
        <f>SUM(B19,C19,D19,E19,F19,H19,I19,J19)-G19</f>
        <v>0</v>
      </c>
      <c r="L19" s="295">
        <f>'4-OE_CN'!L19</f>
        <v>0</v>
      </c>
      <c r="M19" s="295">
        <f>'4-OE_CN'!M19</f>
        <v>0</v>
      </c>
      <c r="N19" s="295">
        <f>'4-OE_CN'!N19</f>
        <v>0</v>
      </c>
      <c r="O19" s="295">
        <f>'4-OE_CN'!O19</f>
        <v>0</v>
      </c>
      <c r="P19" s="295">
        <f>'4-OE_CN'!P19</f>
        <v>0</v>
      </c>
      <c r="Q19" s="295">
        <f>'4-OE_CN'!Q19</f>
        <v>0</v>
      </c>
      <c r="R19" s="295">
        <f>'4-OE_CN'!R19</f>
        <v>0</v>
      </c>
      <c r="S19" s="295">
        <f>'4-OE_CN'!S19</f>
        <v>0</v>
      </c>
      <c r="T19" s="295">
        <f>'4-OE_CN'!T19</f>
        <v>0</v>
      </c>
      <c r="U19" s="296">
        <f>SUM(L19,M19,N19,O19,P19,R19,S19,T19)-Q19</f>
        <v>0</v>
      </c>
    </row>
    <row r="20" spans="1:21" ht="33" customHeight="1">
      <c r="A20" s="324" t="s">
        <v>353</v>
      </c>
      <c r="B20" s="295">
        <f>SUM(B21:B23)</f>
        <v>0</v>
      </c>
      <c r="C20" s="295">
        <f t="shared" ref="C20:U20" si="5">SUM(C21:C23)</f>
        <v>0</v>
      </c>
      <c r="D20" s="295">
        <f t="shared" si="5"/>
        <v>0</v>
      </c>
      <c r="E20" s="295">
        <f t="shared" si="5"/>
        <v>0</v>
      </c>
      <c r="F20" s="295">
        <f t="shared" si="5"/>
        <v>0</v>
      </c>
      <c r="G20" s="295">
        <f t="shared" si="5"/>
        <v>0</v>
      </c>
      <c r="H20" s="295">
        <f t="shared" si="5"/>
        <v>0</v>
      </c>
      <c r="I20" s="295">
        <f t="shared" si="5"/>
        <v>0</v>
      </c>
      <c r="J20" s="295">
        <f t="shared" si="5"/>
        <v>0</v>
      </c>
      <c r="K20" s="295">
        <f t="shared" si="5"/>
        <v>0</v>
      </c>
      <c r="L20" s="295">
        <f t="shared" si="5"/>
        <v>0</v>
      </c>
      <c r="M20" s="295">
        <f t="shared" si="5"/>
        <v>0</v>
      </c>
      <c r="N20" s="295">
        <f t="shared" si="5"/>
        <v>0</v>
      </c>
      <c r="O20" s="295">
        <f t="shared" si="5"/>
        <v>0</v>
      </c>
      <c r="P20" s="295">
        <f t="shared" si="5"/>
        <v>0</v>
      </c>
      <c r="Q20" s="295">
        <f t="shared" si="5"/>
        <v>0</v>
      </c>
      <c r="R20" s="295">
        <f t="shared" si="5"/>
        <v>0</v>
      </c>
      <c r="S20" s="295">
        <f t="shared" si="5"/>
        <v>0</v>
      </c>
      <c r="T20" s="295">
        <f t="shared" si="5"/>
        <v>0</v>
      </c>
      <c r="U20" s="296">
        <f t="shared" si="5"/>
        <v>0</v>
      </c>
    </row>
    <row r="21" spans="1:21" ht="33" customHeight="1">
      <c r="A21" s="291" t="s">
        <v>239</v>
      </c>
      <c r="B21" s="295">
        <f>'4-OE_CN'!B21</f>
        <v>0</v>
      </c>
      <c r="C21" s="295">
        <f>'4-OE_CN'!C21</f>
        <v>0</v>
      </c>
      <c r="D21" s="295">
        <f>'4-OE_CN'!D21</f>
        <v>0</v>
      </c>
      <c r="E21" s="295">
        <f>'4-OE_CN'!E21</f>
        <v>0</v>
      </c>
      <c r="F21" s="295">
        <f>'4-OE_CN'!F21</f>
        <v>0</v>
      </c>
      <c r="G21" s="295">
        <f>'4-OE_CN'!G21</f>
        <v>0</v>
      </c>
      <c r="H21" s="295">
        <f>'4-OE_CN'!H21</f>
        <v>0</v>
      </c>
      <c r="I21" s="295">
        <f>'4-OE_CN'!I21</f>
        <v>0</v>
      </c>
      <c r="J21" s="295">
        <f>'4-OE_CN'!J21</f>
        <v>0</v>
      </c>
      <c r="K21" s="295">
        <f>SUM(B21,C21,D21,E21,F21,H21,I21,J21)-G21</f>
        <v>0</v>
      </c>
      <c r="L21" s="295">
        <f>'4-OE_CN'!L21</f>
        <v>0</v>
      </c>
      <c r="M21" s="295">
        <f>'4-OE_CN'!M21</f>
        <v>0</v>
      </c>
      <c r="N21" s="295">
        <f>'4-OE_CN'!N21</f>
        <v>0</v>
      </c>
      <c r="O21" s="295">
        <f>'4-OE_CN'!O21</f>
        <v>0</v>
      </c>
      <c r="P21" s="295">
        <f>'4-OE_CN'!P21</f>
        <v>0</v>
      </c>
      <c r="Q21" s="295">
        <f>'4-OE_CN'!Q21</f>
        <v>0</v>
      </c>
      <c r="R21" s="295">
        <f>'4-OE_CN'!R21</f>
        <v>0</v>
      </c>
      <c r="S21" s="295">
        <f>'4-OE_CN'!S21</f>
        <v>0</v>
      </c>
      <c r="T21" s="295">
        <f>'4-OE_CN'!T21</f>
        <v>0</v>
      </c>
      <c r="U21" s="296">
        <f>SUM(L21,M21,N21,O21,P21,R21,S21,T21)-Q21</f>
        <v>0</v>
      </c>
    </row>
    <row r="22" spans="1:21" ht="33" customHeight="1">
      <c r="A22" s="292" t="s">
        <v>355</v>
      </c>
      <c r="B22" s="295">
        <f>'4-OE_CN'!B22</f>
        <v>0</v>
      </c>
      <c r="C22" s="295">
        <f>'4-OE_CN'!C22</f>
        <v>0</v>
      </c>
      <c r="D22" s="295">
        <f>'4-OE_CN'!D22</f>
        <v>0</v>
      </c>
      <c r="E22" s="295">
        <f>'4-OE_CN'!E22</f>
        <v>0</v>
      </c>
      <c r="F22" s="295">
        <f>'4-OE_CN'!F22</f>
        <v>0</v>
      </c>
      <c r="G22" s="295">
        <f>'4-OE_CN'!G22</f>
        <v>0</v>
      </c>
      <c r="H22" s="295">
        <f>'4-OE_CN'!H22</f>
        <v>0</v>
      </c>
      <c r="I22" s="295">
        <f>'4-OE_CN'!I22</f>
        <v>0</v>
      </c>
      <c r="J22" s="295">
        <f>'4-OE_CN'!J22</f>
        <v>0</v>
      </c>
      <c r="K22" s="295">
        <f>SUM(B22,C22,D22,E22,F22,H22,I22,J22)-G22</f>
        <v>0</v>
      </c>
      <c r="L22" s="295">
        <f>'4-OE_CN'!L22</f>
        <v>0</v>
      </c>
      <c r="M22" s="295">
        <f>'4-OE_CN'!M22</f>
        <v>0</v>
      </c>
      <c r="N22" s="295">
        <f>'4-OE_CN'!N22</f>
        <v>0</v>
      </c>
      <c r="O22" s="295">
        <f>'4-OE_CN'!O22</f>
        <v>0</v>
      </c>
      <c r="P22" s="295">
        <f>'4-OE_CN'!P22</f>
        <v>0</v>
      </c>
      <c r="Q22" s="295">
        <f>'4-OE_CN'!Q22</f>
        <v>0</v>
      </c>
      <c r="R22" s="295">
        <f>'4-OE_CN'!R22</f>
        <v>0</v>
      </c>
      <c r="S22" s="295">
        <f>'4-OE_CN'!S22</f>
        <v>0</v>
      </c>
      <c r="T22" s="295">
        <f>'4-OE_CN'!T22</f>
        <v>0</v>
      </c>
      <c r="U22" s="296">
        <f>SUM(L22,M22,N22,O22,P22,R22,S22,T22)-Q22</f>
        <v>0</v>
      </c>
    </row>
    <row r="23" spans="1:21" ht="33" customHeight="1">
      <c r="A23" s="293" t="s">
        <v>354</v>
      </c>
      <c r="B23" s="295">
        <f>'4-OE_CN'!B23</f>
        <v>0</v>
      </c>
      <c r="C23" s="295">
        <f>'4-OE_CN'!C23</f>
        <v>0</v>
      </c>
      <c r="D23" s="295">
        <f>'4-OE_CN'!D23</f>
        <v>0</v>
      </c>
      <c r="E23" s="295">
        <f>'4-OE_CN'!E23</f>
        <v>0</v>
      </c>
      <c r="F23" s="295">
        <f>'4-OE_CN'!F23</f>
        <v>0</v>
      </c>
      <c r="G23" s="295">
        <f>'4-OE_CN'!G23</f>
        <v>0</v>
      </c>
      <c r="H23" s="295">
        <f>'4-OE_CN'!H23</f>
        <v>0</v>
      </c>
      <c r="I23" s="295">
        <f>'4-OE_CN'!I23</f>
        <v>0</v>
      </c>
      <c r="J23" s="295">
        <f>'4-OE_CN'!J23</f>
        <v>0</v>
      </c>
      <c r="K23" s="295">
        <f>SUM(B23,C23,D23,E23,F23,H23,I23,J23)-G23</f>
        <v>0</v>
      </c>
      <c r="L23" s="295">
        <f>'4-OE_CN'!L23</f>
        <v>0</v>
      </c>
      <c r="M23" s="295">
        <f>'4-OE_CN'!M23</f>
        <v>0</v>
      </c>
      <c r="N23" s="295">
        <f>'4-OE_CN'!N23</f>
        <v>0</v>
      </c>
      <c r="O23" s="295">
        <f>'4-OE_CN'!O23</f>
        <v>0</v>
      </c>
      <c r="P23" s="295">
        <f>'4-OE_CN'!P23</f>
        <v>0</v>
      </c>
      <c r="Q23" s="295">
        <f>'4-OE_CN'!Q23</f>
        <v>0</v>
      </c>
      <c r="R23" s="295">
        <f>'4-OE_CN'!R23</f>
        <v>0</v>
      </c>
      <c r="S23" s="295">
        <f>'4-OE_CN'!S23</f>
        <v>0</v>
      </c>
      <c r="T23" s="295">
        <f>'4-OE_CN'!T23</f>
        <v>0</v>
      </c>
      <c r="U23" s="296">
        <f>SUM(L23,M23,N23,O23,P23,R23,S23,T23)-Q23</f>
        <v>0</v>
      </c>
    </row>
    <row r="24" spans="1:21" ht="33" customHeight="1">
      <c r="A24" s="293" t="s">
        <v>581</v>
      </c>
      <c r="B24" s="295">
        <f>SUM(B25:B30)</f>
        <v>0</v>
      </c>
      <c r="C24" s="295">
        <f t="shared" ref="C24:U24" si="6">SUM(C25:C30)</f>
        <v>0</v>
      </c>
      <c r="D24" s="295">
        <f t="shared" si="6"/>
        <v>0</v>
      </c>
      <c r="E24" s="295">
        <f t="shared" si="6"/>
        <v>0</v>
      </c>
      <c r="F24" s="295">
        <f t="shared" si="6"/>
        <v>0</v>
      </c>
      <c r="G24" s="295">
        <f t="shared" si="6"/>
        <v>0</v>
      </c>
      <c r="H24" s="295">
        <f t="shared" si="6"/>
        <v>0</v>
      </c>
      <c r="I24" s="295">
        <f t="shared" si="6"/>
        <v>0</v>
      </c>
      <c r="J24" s="295">
        <f t="shared" si="6"/>
        <v>0</v>
      </c>
      <c r="K24" s="295">
        <f t="shared" si="6"/>
        <v>0</v>
      </c>
      <c r="L24" s="295">
        <f t="shared" si="6"/>
        <v>0</v>
      </c>
      <c r="M24" s="295">
        <f t="shared" si="6"/>
        <v>0</v>
      </c>
      <c r="N24" s="295">
        <f t="shared" si="6"/>
        <v>0</v>
      </c>
      <c r="O24" s="295">
        <f t="shared" si="6"/>
        <v>0</v>
      </c>
      <c r="P24" s="295">
        <f t="shared" si="6"/>
        <v>0</v>
      </c>
      <c r="Q24" s="295">
        <f t="shared" si="6"/>
        <v>0</v>
      </c>
      <c r="R24" s="295">
        <f t="shared" si="6"/>
        <v>0</v>
      </c>
      <c r="S24" s="295">
        <f t="shared" si="6"/>
        <v>0</v>
      </c>
      <c r="T24" s="295">
        <f t="shared" si="6"/>
        <v>0</v>
      </c>
      <c r="U24" s="296">
        <f t="shared" si="6"/>
        <v>0</v>
      </c>
    </row>
    <row r="25" spans="1:21" ht="33" customHeight="1">
      <c r="A25" s="291" t="s">
        <v>538</v>
      </c>
      <c r="B25" s="295">
        <f>'4-OE_CN'!B25</f>
        <v>0</v>
      </c>
      <c r="C25" s="295">
        <f>'4-OE_CN'!C25</f>
        <v>0</v>
      </c>
      <c r="D25" s="295">
        <f>'4-OE_CN'!D25</f>
        <v>0</v>
      </c>
      <c r="E25" s="295">
        <f>'4-OE_CN'!E25</f>
        <v>0</v>
      </c>
      <c r="F25" s="295">
        <f>'4-OE_CN'!F25</f>
        <v>0</v>
      </c>
      <c r="G25" s="295">
        <f>'4-OE_CN'!G25</f>
        <v>0</v>
      </c>
      <c r="H25" s="295">
        <f>'4-OE_CN'!H25</f>
        <v>0</v>
      </c>
      <c r="I25" s="295">
        <f>'4-OE_CN'!I25</f>
        <v>0</v>
      </c>
      <c r="J25" s="295">
        <f>'4-OE_CN'!J25</f>
        <v>0</v>
      </c>
      <c r="K25" s="295">
        <f t="shared" ref="K25:K30" si="7">SUM(B25,C25,D25,E25,F25,H25,I25,J25)-G25</f>
        <v>0</v>
      </c>
      <c r="L25" s="295">
        <f>'4-OE_CN'!L25</f>
        <v>0</v>
      </c>
      <c r="M25" s="295">
        <f>'4-OE_CN'!M25</f>
        <v>0</v>
      </c>
      <c r="N25" s="295">
        <f>'4-OE_CN'!N25</f>
        <v>0</v>
      </c>
      <c r="O25" s="295">
        <f>'4-OE_CN'!O25</f>
        <v>0</v>
      </c>
      <c r="P25" s="295">
        <f>'4-OE_CN'!P25</f>
        <v>0</v>
      </c>
      <c r="Q25" s="295">
        <f>'4-OE_CN'!Q25</f>
        <v>0</v>
      </c>
      <c r="R25" s="295">
        <f>'4-OE_CN'!R25</f>
        <v>0</v>
      </c>
      <c r="S25" s="295">
        <f>'4-OE_CN'!S25</f>
        <v>0</v>
      </c>
      <c r="T25" s="295">
        <f>'4-OE_CN'!T25</f>
        <v>0</v>
      </c>
      <c r="U25" s="296">
        <f t="shared" ref="U25:U30" si="8">SUM(L25,M25,N25,O25,P25,R25,S25,T25)-Q25</f>
        <v>0</v>
      </c>
    </row>
    <row r="26" spans="1:21" ht="33" customHeight="1">
      <c r="A26" s="291" t="s">
        <v>240</v>
      </c>
      <c r="B26" s="295">
        <f>'4-OE_CN'!B26</f>
        <v>0</v>
      </c>
      <c r="C26" s="295">
        <f>'4-OE_CN'!C26</f>
        <v>0</v>
      </c>
      <c r="D26" s="295">
        <f>'4-OE_CN'!D26</f>
        <v>0</v>
      </c>
      <c r="E26" s="295">
        <f>'4-OE_CN'!E26</f>
        <v>0</v>
      </c>
      <c r="F26" s="295">
        <f>'4-OE_CN'!F26</f>
        <v>0</v>
      </c>
      <c r="G26" s="295">
        <f>'4-OE_CN'!G26</f>
        <v>0</v>
      </c>
      <c r="H26" s="295">
        <f>'4-OE_CN'!H26</f>
        <v>0</v>
      </c>
      <c r="I26" s="295">
        <f>'4-OE_CN'!I26</f>
        <v>0</v>
      </c>
      <c r="J26" s="295">
        <f>'4-OE_CN'!J26</f>
        <v>0</v>
      </c>
      <c r="K26" s="295">
        <f t="shared" si="7"/>
        <v>0</v>
      </c>
      <c r="L26" s="295">
        <f>'4-OE_CN'!L26</f>
        <v>0</v>
      </c>
      <c r="M26" s="295">
        <f>'4-OE_CN'!M26</f>
        <v>0</v>
      </c>
      <c r="N26" s="295">
        <f>'4-OE_CN'!N26</f>
        <v>0</v>
      </c>
      <c r="O26" s="295">
        <f>'4-OE_CN'!O26</f>
        <v>0</v>
      </c>
      <c r="P26" s="295">
        <f>'4-OE_CN'!P26</f>
        <v>0</v>
      </c>
      <c r="Q26" s="295">
        <f>'4-OE_CN'!Q26</f>
        <v>0</v>
      </c>
      <c r="R26" s="295">
        <f>'4-OE_CN'!R26</f>
        <v>0</v>
      </c>
      <c r="S26" s="295">
        <f>'4-OE_CN'!S26</f>
        <v>0</v>
      </c>
      <c r="T26" s="295">
        <f>'4-OE_CN'!T26</f>
        <v>0</v>
      </c>
      <c r="U26" s="296">
        <f t="shared" si="8"/>
        <v>0</v>
      </c>
    </row>
    <row r="27" spans="1:21" ht="33" customHeight="1">
      <c r="A27" s="291" t="s">
        <v>241</v>
      </c>
      <c r="B27" s="295">
        <f>'4-OE_CN'!B27</f>
        <v>0</v>
      </c>
      <c r="C27" s="295">
        <f>'4-OE_CN'!C27</f>
        <v>0</v>
      </c>
      <c r="D27" s="295">
        <f>'4-OE_CN'!D27</f>
        <v>0</v>
      </c>
      <c r="E27" s="295">
        <f>'4-OE_CN'!E27</f>
        <v>0</v>
      </c>
      <c r="F27" s="295">
        <f>'4-OE_CN'!F27</f>
        <v>0</v>
      </c>
      <c r="G27" s="295">
        <f>'4-OE_CN'!G27</f>
        <v>0</v>
      </c>
      <c r="H27" s="295">
        <f>'4-OE_CN'!H27</f>
        <v>0</v>
      </c>
      <c r="I27" s="295">
        <f>'4-OE_CN'!I27</f>
        <v>0</v>
      </c>
      <c r="J27" s="295">
        <f>'4-OE_CN'!J27</f>
        <v>0</v>
      </c>
      <c r="K27" s="295">
        <f t="shared" si="7"/>
        <v>0</v>
      </c>
      <c r="L27" s="295">
        <f>'4-OE_CN'!L27</f>
        <v>0</v>
      </c>
      <c r="M27" s="295">
        <f>'4-OE_CN'!M27</f>
        <v>0</v>
      </c>
      <c r="N27" s="295">
        <f>'4-OE_CN'!N27</f>
        <v>0</v>
      </c>
      <c r="O27" s="295">
        <f>'4-OE_CN'!O27</f>
        <v>0</v>
      </c>
      <c r="P27" s="295">
        <f>'4-OE_CN'!P27</f>
        <v>0</v>
      </c>
      <c r="Q27" s="295">
        <f>'4-OE_CN'!Q27</f>
        <v>0</v>
      </c>
      <c r="R27" s="295">
        <f>'4-OE_CN'!R27</f>
        <v>0</v>
      </c>
      <c r="S27" s="295">
        <f>'4-OE_CN'!S27</f>
        <v>0</v>
      </c>
      <c r="T27" s="295">
        <f>'4-OE_CN'!T27</f>
        <v>0</v>
      </c>
      <c r="U27" s="296">
        <f t="shared" si="8"/>
        <v>0</v>
      </c>
    </row>
    <row r="28" spans="1:21" ht="33" hidden="1" customHeight="1">
      <c r="A28" s="291" t="s">
        <v>539</v>
      </c>
      <c r="B28" s="295">
        <f>'4-OE_CN'!B28</f>
        <v>0</v>
      </c>
      <c r="C28" s="295">
        <f>'4-OE_CN'!C28</f>
        <v>0</v>
      </c>
      <c r="D28" s="295">
        <f>'4-OE_CN'!D28</f>
        <v>0</v>
      </c>
      <c r="E28" s="295">
        <f>'4-OE_CN'!E28</f>
        <v>0</v>
      </c>
      <c r="F28" s="295">
        <f>'4-OE_CN'!F28</f>
        <v>0</v>
      </c>
      <c r="G28" s="295">
        <f>'4-OE_CN'!G28</f>
        <v>0</v>
      </c>
      <c r="H28" s="295">
        <f>'4-OE_CN'!H28</f>
        <v>0</v>
      </c>
      <c r="I28" s="295">
        <f>'4-OE_CN'!I28</f>
        <v>0</v>
      </c>
      <c r="J28" s="295">
        <f>'4-OE_CN'!J28</f>
        <v>0</v>
      </c>
      <c r="K28" s="295">
        <f t="shared" si="7"/>
        <v>0</v>
      </c>
      <c r="L28" s="295">
        <f>'4-OE_CN'!L28</f>
        <v>0</v>
      </c>
      <c r="M28" s="295">
        <f>'4-OE_CN'!M28</f>
        <v>0</v>
      </c>
      <c r="N28" s="295">
        <f>'4-OE_CN'!N28</f>
        <v>0</v>
      </c>
      <c r="O28" s="295">
        <f>'4-OE_CN'!O28</f>
        <v>0</v>
      </c>
      <c r="P28" s="295">
        <f>'4-OE_CN'!P28</f>
        <v>0</v>
      </c>
      <c r="Q28" s="295">
        <f>'4-OE_CN'!Q28</f>
        <v>0</v>
      </c>
      <c r="R28" s="295">
        <f>'4-OE_CN'!R28</f>
        <v>0</v>
      </c>
      <c r="S28" s="295">
        <f>'4-OE_CN'!S28</f>
        <v>0</v>
      </c>
      <c r="T28" s="295">
        <f>'4-OE_CN'!T28</f>
        <v>0</v>
      </c>
      <c r="U28" s="296">
        <f t="shared" si="8"/>
        <v>0</v>
      </c>
    </row>
    <row r="29" spans="1:21" ht="33" hidden="1" customHeight="1">
      <c r="A29" s="411" t="s">
        <v>662</v>
      </c>
      <c r="B29" s="295">
        <f>'4-OE_CN'!B29</f>
        <v>0</v>
      </c>
      <c r="C29" s="295">
        <f>'4-OE_CN'!C29</f>
        <v>0</v>
      </c>
      <c r="D29" s="295">
        <f>'4-OE_CN'!D29</f>
        <v>0</v>
      </c>
      <c r="E29" s="295">
        <f>'4-OE_CN'!E29</f>
        <v>0</v>
      </c>
      <c r="F29" s="295">
        <f>'4-OE_CN'!F29</f>
        <v>0</v>
      </c>
      <c r="G29" s="295">
        <f>'4-OE_CN'!G29</f>
        <v>0</v>
      </c>
      <c r="H29" s="295">
        <f>'4-OE_CN'!H29</f>
        <v>0</v>
      </c>
      <c r="I29" s="295">
        <f>'4-OE_CN'!I29</f>
        <v>0</v>
      </c>
      <c r="J29" s="295">
        <f>'4-OE_CN'!J29</f>
        <v>0</v>
      </c>
      <c r="K29" s="295">
        <f t="shared" si="7"/>
        <v>0</v>
      </c>
      <c r="L29" s="295">
        <f>'4-OE_CN'!L29</f>
        <v>0</v>
      </c>
      <c r="M29" s="295">
        <f>'4-OE_CN'!M29</f>
        <v>0</v>
      </c>
      <c r="N29" s="295">
        <f>'4-OE_CN'!N29</f>
        <v>0</v>
      </c>
      <c r="O29" s="295">
        <f>'4-OE_CN'!O29</f>
        <v>0</v>
      </c>
      <c r="P29" s="295">
        <f>'4-OE_CN'!P29</f>
        <v>0</v>
      </c>
      <c r="Q29" s="295">
        <f>'4-OE_CN'!Q29</f>
        <v>0</v>
      </c>
      <c r="R29" s="295">
        <f>'4-OE_CN'!R29</f>
        <v>0</v>
      </c>
      <c r="S29" s="295">
        <f>'4-OE_CN'!S29</f>
        <v>0</v>
      </c>
      <c r="T29" s="295">
        <f>'4-OE_CN'!T29</f>
        <v>0</v>
      </c>
      <c r="U29" s="296">
        <f t="shared" si="8"/>
        <v>0</v>
      </c>
    </row>
    <row r="30" spans="1:21" ht="33" hidden="1" customHeight="1">
      <c r="A30" s="291" t="s">
        <v>661</v>
      </c>
      <c r="B30" s="295">
        <f>'4-OE_CN'!B30</f>
        <v>0</v>
      </c>
      <c r="C30" s="295">
        <f>'4-OE_CN'!C30</f>
        <v>0</v>
      </c>
      <c r="D30" s="295">
        <f>'4-OE_CN'!D30</f>
        <v>0</v>
      </c>
      <c r="E30" s="295">
        <f>'4-OE_CN'!E30</f>
        <v>0</v>
      </c>
      <c r="F30" s="295">
        <f>'4-OE_CN'!F30</f>
        <v>0</v>
      </c>
      <c r="G30" s="295">
        <f>'4-OE_CN'!G30</f>
        <v>0</v>
      </c>
      <c r="H30" s="295">
        <f>'4-OE_CN'!H30</f>
        <v>0</v>
      </c>
      <c r="I30" s="295">
        <f>'4-OE_CN'!I30</f>
        <v>0</v>
      </c>
      <c r="J30" s="295">
        <f>'4-OE_CN'!J30</f>
        <v>0</v>
      </c>
      <c r="K30" s="295">
        <f t="shared" si="7"/>
        <v>0</v>
      </c>
      <c r="L30" s="295">
        <f>'4-OE_CN'!L30</f>
        <v>0</v>
      </c>
      <c r="M30" s="295">
        <f>'4-OE_CN'!M30</f>
        <v>0</v>
      </c>
      <c r="N30" s="295">
        <f>'4-OE_CN'!N30</f>
        <v>0</v>
      </c>
      <c r="O30" s="295">
        <f>'4-OE_CN'!O30</f>
        <v>0</v>
      </c>
      <c r="P30" s="295">
        <f>'4-OE_CN'!P30</f>
        <v>0</v>
      </c>
      <c r="Q30" s="295">
        <f>'4-OE_CN'!Q30</f>
        <v>0</v>
      </c>
      <c r="R30" s="295">
        <f>'4-OE_CN'!R30</f>
        <v>0</v>
      </c>
      <c r="S30" s="295">
        <f>'4-OE_CN'!S30</f>
        <v>0</v>
      </c>
      <c r="T30" s="295">
        <f>'4-OE_CN'!T30</f>
        <v>0</v>
      </c>
      <c r="U30" s="296">
        <f t="shared" si="8"/>
        <v>0</v>
      </c>
    </row>
    <row r="31" spans="1:21" ht="33" customHeight="1" thickBot="1">
      <c r="A31" s="294" t="s">
        <v>20</v>
      </c>
      <c r="B31" s="325">
        <f>B12+B13</f>
        <v>0</v>
      </c>
      <c r="C31" s="325">
        <f t="shared" ref="C31:U31" si="9">C12+C13</f>
        <v>0</v>
      </c>
      <c r="D31" s="325">
        <f t="shared" si="9"/>
        <v>0</v>
      </c>
      <c r="E31" s="325">
        <f t="shared" si="9"/>
        <v>0</v>
      </c>
      <c r="F31" s="325">
        <f t="shared" si="9"/>
        <v>0</v>
      </c>
      <c r="G31" s="325">
        <f t="shared" si="9"/>
        <v>0</v>
      </c>
      <c r="H31" s="325">
        <f t="shared" si="9"/>
        <v>0</v>
      </c>
      <c r="I31" s="325">
        <f t="shared" si="9"/>
        <v>0</v>
      </c>
      <c r="J31" s="325">
        <f t="shared" si="9"/>
        <v>0</v>
      </c>
      <c r="K31" s="325">
        <f t="shared" si="9"/>
        <v>0</v>
      </c>
      <c r="L31" s="325">
        <f t="shared" si="9"/>
        <v>0</v>
      </c>
      <c r="M31" s="325">
        <f t="shared" si="9"/>
        <v>0</v>
      </c>
      <c r="N31" s="325">
        <f t="shared" si="9"/>
        <v>0</v>
      </c>
      <c r="O31" s="325">
        <f t="shared" si="9"/>
        <v>0</v>
      </c>
      <c r="P31" s="325">
        <f t="shared" si="9"/>
        <v>0</v>
      </c>
      <c r="Q31" s="325">
        <f t="shared" si="9"/>
        <v>0</v>
      </c>
      <c r="R31" s="325">
        <f t="shared" si="9"/>
        <v>0</v>
      </c>
      <c r="S31" s="325">
        <f t="shared" si="9"/>
        <v>0</v>
      </c>
      <c r="T31" s="325">
        <f t="shared" si="9"/>
        <v>0</v>
      </c>
      <c r="U31" s="274">
        <f t="shared" si="9"/>
        <v>0</v>
      </c>
    </row>
    <row r="33" spans="1:21" ht="15.75" customHeight="1">
      <c r="A33" s="193" t="s">
        <v>506</v>
      </c>
      <c r="B33" s="193"/>
      <c r="C33" s="193"/>
      <c r="D33" s="193"/>
      <c r="E33" s="193"/>
      <c r="F33" s="193"/>
      <c r="G33" s="193"/>
      <c r="H33" s="193"/>
      <c r="I33" s="193"/>
      <c r="J33" s="193"/>
      <c r="L33" s="65" t="s">
        <v>507</v>
      </c>
    </row>
    <row r="35" spans="1:21" s="248" customFormat="1" ht="30.75" customHeight="1">
      <c r="A35" s="247"/>
      <c r="B35" s="249">
        <f>B31-'1-BS_EN'!E35</f>
        <v>0</v>
      </c>
      <c r="C35" s="249"/>
      <c r="D35" s="249"/>
      <c r="E35" s="249"/>
      <c r="F35" s="249">
        <f>F31-'1-BS_EN'!E39</f>
        <v>0</v>
      </c>
      <c r="G35" s="249"/>
      <c r="H35" s="249"/>
      <c r="I35" s="249">
        <f>I31-'1-BS_EN'!E43</f>
        <v>0</v>
      </c>
      <c r="J35" s="249">
        <f>J31-'1-BS_EN'!E44</f>
        <v>0</v>
      </c>
      <c r="K35" s="249">
        <f>K31-'1-BS_EN'!E45</f>
        <v>0</v>
      </c>
      <c r="L35" s="249">
        <f>L31-'1-BS_EN'!F35</f>
        <v>0</v>
      </c>
      <c r="M35" s="249"/>
      <c r="N35" s="249"/>
      <c r="O35" s="249"/>
      <c r="P35" s="249">
        <f>P31-'1-BS_EN'!F39</f>
        <v>0</v>
      </c>
      <c r="Q35" s="249"/>
      <c r="R35" s="249"/>
      <c r="S35" s="249">
        <f>S31-'1-BS_EN'!F43</f>
        <v>0</v>
      </c>
      <c r="T35" s="249">
        <f>T31-'1-BS_EN'!F44</f>
        <v>0</v>
      </c>
      <c r="U35" s="249">
        <f>U31-'1-BS_EN'!F45</f>
        <v>0</v>
      </c>
    </row>
  </sheetData>
  <mergeCells count="22">
    <mergeCell ref="A2:U2"/>
    <mergeCell ref="P6:P7"/>
    <mergeCell ref="M6:O6"/>
    <mergeCell ref="Q6:Q7"/>
    <mergeCell ref="K6:K7"/>
    <mergeCell ref="S6:S7"/>
    <mergeCell ref="A1:U1"/>
    <mergeCell ref="B5:K5"/>
    <mergeCell ref="L5:U5"/>
    <mergeCell ref="T6:T7"/>
    <mergeCell ref="U6:U7"/>
    <mergeCell ref="G6:G7"/>
    <mergeCell ref="R6:R7"/>
    <mergeCell ref="I6:I7"/>
    <mergeCell ref="H6:H7"/>
    <mergeCell ref="C6:E6"/>
    <mergeCell ref="A3:U3"/>
    <mergeCell ref="B6:B7"/>
    <mergeCell ref="F6:F7"/>
    <mergeCell ref="J6:J7"/>
    <mergeCell ref="A5:A7"/>
    <mergeCell ref="L6:L7"/>
  </mergeCells>
  <phoneticPr fontId="14" type="noConversion"/>
  <printOptions horizontalCentered="1"/>
  <pageMargins left="0.78740157480314965" right="0.78740157480314965" top="0.78740157480314965" bottom="0.39370078740157483" header="0.51181102362204722" footer="0.51181102362204722"/>
  <pageSetup paperSize="9" scale="44" orientation="landscape" blackAndWhite="1"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pageSetUpPr fitToPage="1"/>
  </sheetPr>
  <dimension ref="A1:D19"/>
  <sheetViews>
    <sheetView view="pageBreakPreview" zoomScale="90" zoomScaleNormal="87" zoomScaleSheetLayoutView="90" workbookViewId="0">
      <selection activeCell="C11" sqref="C11"/>
    </sheetView>
  </sheetViews>
  <sheetFormatPr defaultColWidth="8.58203125" defaultRowHeight="14"/>
  <cols>
    <col min="1" max="1" width="37" style="26" customWidth="1"/>
    <col min="2" max="2" width="27.08203125" style="26" customWidth="1"/>
    <col min="3" max="3" width="30" style="102" customWidth="1"/>
    <col min="4" max="4" width="39" style="26" customWidth="1"/>
    <col min="5" max="30" width="9" style="26" bestFit="1" customWidth="1"/>
    <col min="31" max="16384" width="8.58203125" style="26"/>
  </cols>
  <sheetData>
    <row r="1" spans="1:4" ht="39.75" customHeight="1">
      <c r="A1" s="487" t="str">
        <f>Basic!B1</f>
        <v>***公司</v>
      </c>
      <c r="B1" s="488"/>
      <c r="C1" s="488"/>
    </row>
    <row r="2" spans="1:4" ht="39.75" customHeight="1">
      <c r="A2" s="487" t="s">
        <v>234</v>
      </c>
      <c r="B2" s="488"/>
      <c r="C2" s="488"/>
    </row>
    <row r="3" spans="1:4" ht="24.75" customHeight="1">
      <c r="A3" s="489" t="s">
        <v>702</v>
      </c>
      <c r="B3" s="489"/>
      <c r="C3" s="489"/>
    </row>
    <row r="4" spans="1:4" ht="27" customHeight="1"/>
    <row r="5" spans="1:4" ht="28.15" customHeight="1" thickBot="1">
      <c r="A5" s="30"/>
      <c r="B5" s="31"/>
      <c r="C5" s="252" t="s">
        <v>231</v>
      </c>
    </row>
    <row r="6" spans="1:4" s="27" customFormat="1" ht="28.15" customHeight="1">
      <c r="A6" s="82" t="s">
        <v>97</v>
      </c>
      <c r="B6" s="83" t="s">
        <v>98</v>
      </c>
      <c r="C6" s="103" t="s">
        <v>99</v>
      </c>
    </row>
    <row r="7" spans="1:4" ht="40.5" customHeight="1">
      <c r="A7" s="32" t="s">
        <v>100</v>
      </c>
      <c r="B7" s="33"/>
      <c r="C7" s="250">
        <f>'2-PL_CN'!B27</f>
        <v>0</v>
      </c>
    </row>
    <row r="8" spans="1:4" ht="40.5" customHeight="1">
      <c r="A8" s="32" t="s">
        <v>101</v>
      </c>
      <c r="B8" s="34"/>
      <c r="C8" s="251">
        <f>SUM(C9:C11)</f>
        <v>0</v>
      </c>
    </row>
    <row r="9" spans="1:4" ht="40.5" customHeight="1">
      <c r="A9" s="32"/>
      <c r="B9" s="36"/>
      <c r="C9" s="35"/>
    </row>
    <row r="10" spans="1:4" ht="40.5" customHeight="1">
      <c r="A10" s="32"/>
      <c r="B10" s="34"/>
      <c r="C10" s="35"/>
    </row>
    <row r="11" spans="1:4" ht="40.5" customHeight="1">
      <c r="A11" s="32"/>
      <c r="B11" s="34"/>
      <c r="C11" s="35"/>
    </row>
    <row r="12" spans="1:4" ht="40.5" customHeight="1">
      <c r="A12" s="32" t="s">
        <v>102</v>
      </c>
      <c r="B12" s="34"/>
      <c r="C12" s="251">
        <f>SUM(C13:C14)</f>
        <v>0</v>
      </c>
    </row>
    <row r="13" spans="1:4" ht="40.5" customHeight="1">
      <c r="A13" s="32"/>
      <c r="B13" s="34"/>
      <c r="C13" s="35"/>
    </row>
    <row r="14" spans="1:4" ht="40.5" customHeight="1">
      <c r="A14" s="32"/>
      <c r="B14" s="34"/>
      <c r="C14" s="109"/>
    </row>
    <row r="15" spans="1:4" ht="40.5" customHeight="1">
      <c r="A15" s="32" t="s">
        <v>103</v>
      </c>
      <c r="B15" s="34"/>
      <c r="C15" s="251">
        <f>C7+C8-C12</f>
        <v>0</v>
      </c>
    </row>
    <row r="16" spans="1:4" ht="40.5" customHeight="1">
      <c r="A16" s="32" t="s">
        <v>104</v>
      </c>
      <c r="B16" s="34"/>
      <c r="C16" s="37"/>
      <c r="D16" s="104"/>
    </row>
    <row r="17" spans="1:3" ht="40.5" customHeight="1" thickBot="1">
      <c r="A17" s="326" t="s">
        <v>105</v>
      </c>
      <c r="B17" s="38"/>
      <c r="C17" s="327">
        <f>C15-C16</f>
        <v>0</v>
      </c>
    </row>
    <row r="18" spans="1:3" ht="28.15" customHeight="1">
      <c r="A18" s="31"/>
      <c r="B18" s="31"/>
    </row>
    <row r="19" spans="1:3" ht="28.15" customHeight="1">
      <c r="A19" s="31" t="s">
        <v>106</v>
      </c>
      <c r="B19" s="31"/>
    </row>
  </sheetData>
  <mergeCells count="3">
    <mergeCell ref="A1:C1"/>
    <mergeCell ref="A3:C3"/>
    <mergeCell ref="A2:C2"/>
  </mergeCells>
  <phoneticPr fontId="14" type="noConversion"/>
  <printOptions horizontalCentered="1"/>
  <pageMargins left="0.98425196850393704" right="0.78740157480314965" top="0.78740157480314965" bottom="0.74803149606299213" header="0.9055118110236221" footer="0.31496062992125984"/>
  <pageSetup paperSize="9" scale="82" orientation="portrait" blackAndWhite="1"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pageSetUpPr fitToPage="1"/>
  </sheetPr>
  <dimension ref="A1:IV45"/>
  <sheetViews>
    <sheetView view="pageBreakPreview" zoomScaleNormal="100" zoomScaleSheetLayoutView="100" workbookViewId="0">
      <selection activeCell="B13" sqref="B13"/>
    </sheetView>
  </sheetViews>
  <sheetFormatPr defaultColWidth="8.58203125" defaultRowHeight="14"/>
  <cols>
    <col min="1" max="1" width="30.08203125" style="26" customWidth="1"/>
    <col min="2" max="2" width="30.75" style="26" customWidth="1"/>
    <col min="3" max="3" width="20.58203125" style="28" customWidth="1"/>
    <col min="4" max="4" width="9" style="29" bestFit="1" customWidth="1"/>
    <col min="5" max="7" width="20.83203125" style="29" customWidth="1"/>
    <col min="8" max="32" width="9" style="29" bestFit="1" customWidth="1"/>
    <col min="33" max="16384" width="8.58203125" style="29"/>
  </cols>
  <sheetData>
    <row r="1" spans="1:256" s="26" customFormat="1" ht="23.25" customHeight="1">
      <c r="A1" s="490" t="str">
        <f>Basic!C1</f>
        <v>*****</v>
      </c>
      <c r="B1" s="490"/>
      <c r="C1" s="490"/>
    </row>
    <row r="2" spans="1:256" s="26" customFormat="1" ht="23.25" customHeight="1">
      <c r="A2" s="490" t="s">
        <v>666</v>
      </c>
      <c r="B2" s="490"/>
      <c r="C2" s="490"/>
    </row>
    <row r="3" spans="1:256" customFormat="1" ht="15.5">
      <c r="A3" s="491" t="str">
        <f>Basic!C3</f>
        <v>For the year ended December 31, 2022</v>
      </c>
      <c r="B3" s="491"/>
      <c r="C3" s="491"/>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29"/>
      <c r="CW3" s="29"/>
      <c r="CX3" s="29"/>
      <c r="CY3" s="29"/>
      <c r="CZ3" s="29"/>
      <c r="DA3" s="29"/>
      <c r="DB3" s="29"/>
      <c r="DC3" s="29"/>
      <c r="DD3" s="29"/>
      <c r="DE3" s="29"/>
      <c r="DF3" s="29"/>
      <c r="DG3" s="29"/>
      <c r="DH3" s="29"/>
      <c r="DI3" s="29"/>
      <c r="DJ3" s="29"/>
      <c r="DK3" s="29"/>
      <c r="DL3" s="29"/>
      <c r="DM3" s="29"/>
      <c r="DN3" s="29"/>
      <c r="DO3" s="29"/>
      <c r="DP3" s="29"/>
      <c r="DQ3" s="29"/>
      <c r="DR3" s="29"/>
      <c r="DS3" s="29"/>
      <c r="DT3" s="29"/>
      <c r="DU3" s="29"/>
      <c r="DV3" s="29"/>
      <c r="DW3" s="29"/>
      <c r="DX3" s="29"/>
      <c r="DY3" s="29"/>
      <c r="DZ3" s="29"/>
      <c r="EA3" s="29"/>
      <c r="EB3" s="29"/>
      <c r="EC3" s="29"/>
      <c r="ED3" s="29"/>
      <c r="EE3" s="29"/>
      <c r="EF3" s="29"/>
      <c r="EG3" s="29"/>
      <c r="EH3" s="29"/>
      <c r="EI3" s="29"/>
      <c r="EJ3" s="29"/>
      <c r="EK3" s="29"/>
      <c r="EL3" s="29"/>
      <c r="EM3" s="29"/>
      <c r="EN3" s="29"/>
      <c r="EO3" s="29"/>
      <c r="EP3" s="29"/>
      <c r="EQ3" s="29"/>
      <c r="ER3" s="29"/>
      <c r="ES3" s="29"/>
      <c r="ET3" s="29"/>
      <c r="EU3" s="29"/>
      <c r="EV3" s="29"/>
      <c r="EW3" s="29"/>
      <c r="EX3" s="29"/>
      <c r="EY3" s="29"/>
      <c r="EZ3" s="29"/>
      <c r="FA3" s="29"/>
      <c r="FB3" s="29"/>
      <c r="FC3" s="29"/>
      <c r="FD3" s="29"/>
      <c r="FE3" s="29"/>
      <c r="FF3" s="29"/>
      <c r="FG3" s="29"/>
      <c r="FH3" s="29"/>
      <c r="FI3" s="29"/>
      <c r="FJ3" s="29"/>
      <c r="FK3" s="29"/>
      <c r="FL3" s="29"/>
      <c r="FM3" s="29"/>
      <c r="FN3" s="29"/>
      <c r="FO3" s="29"/>
      <c r="FP3" s="29"/>
      <c r="FQ3" s="29"/>
      <c r="FR3" s="29"/>
      <c r="FS3" s="29"/>
      <c r="FT3" s="29"/>
      <c r="FU3" s="29"/>
      <c r="FV3" s="29"/>
      <c r="FW3" s="29"/>
      <c r="FX3" s="29"/>
      <c r="FY3" s="29"/>
      <c r="FZ3" s="29"/>
      <c r="GA3" s="29"/>
      <c r="GB3" s="29"/>
      <c r="GC3" s="29"/>
      <c r="GD3" s="29"/>
      <c r="GE3" s="29"/>
      <c r="GF3" s="29"/>
      <c r="GG3" s="29"/>
      <c r="GH3" s="29"/>
      <c r="GI3" s="29"/>
      <c r="GJ3" s="29"/>
      <c r="GK3" s="29"/>
      <c r="GL3" s="29"/>
      <c r="GM3" s="29"/>
      <c r="GN3" s="29"/>
      <c r="GO3" s="29"/>
      <c r="GP3" s="29"/>
      <c r="GQ3" s="29"/>
      <c r="GR3" s="29"/>
      <c r="GS3" s="29"/>
      <c r="GT3" s="29"/>
      <c r="GU3" s="29"/>
      <c r="GV3" s="29"/>
      <c r="GW3" s="29"/>
      <c r="GX3" s="29"/>
      <c r="GY3" s="29"/>
      <c r="GZ3" s="29"/>
      <c r="HA3" s="29"/>
      <c r="HB3" s="29"/>
      <c r="HC3" s="29"/>
      <c r="HD3" s="29"/>
      <c r="HE3" s="29"/>
      <c r="HF3" s="29"/>
      <c r="HG3" s="29"/>
      <c r="HH3" s="29"/>
      <c r="HI3" s="29"/>
      <c r="HJ3" s="29"/>
      <c r="HK3" s="29"/>
      <c r="HL3" s="29"/>
      <c r="HM3" s="29"/>
      <c r="HN3" s="29"/>
      <c r="HO3" s="29"/>
      <c r="HP3" s="29"/>
      <c r="HQ3" s="29"/>
      <c r="HR3" s="29"/>
      <c r="HS3" s="29"/>
      <c r="HT3" s="29"/>
      <c r="HU3" s="29"/>
      <c r="HV3" s="29"/>
      <c r="HW3" s="29"/>
      <c r="HX3" s="29"/>
      <c r="HY3" s="29"/>
      <c r="HZ3" s="29"/>
      <c r="IA3" s="29"/>
      <c r="IB3" s="29"/>
      <c r="IC3" s="29"/>
      <c r="ID3" s="29"/>
      <c r="IE3" s="29"/>
      <c r="IF3" s="29"/>
      <c r="IG3" s="29"/>
      <c r="IH3" s="29"/>
      <c r="II3" s="29"/>
      <c r="IJ3" s="29"/>
      <c r="IK3" s="29"/>
      <c r="IL3" s="29"/>
      <c r="IM3" s="29"/>
      <c r="IN3" s="29"/>
      <c r="IO3" s="29"/>
      <c r="IP3" s="29"/>
      <c r="IQ3" s="29"/>
      <c r="IR3" s="29"/>
      <c r="IS3" s="29"/>
      <c r="IT3" s="29"/>
      <c r="IU3" s="29"/>
      <c r="IV3" s="29"/>
    </row>
    <row r="4" spans="1:256" customFormat="1" ht="15">
      <c r="A4" s="29"/>
      <c r="B4" s="29"/>
      <c r="C4" s="60"/>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29"/>
      <c r="CW4" s="29"/>
      <c r="CX4" s="29"/>
      <c r="CY4" s="29"/>
      <c r="CZ4" s="29"/>
      <c r="DA4" s="29"/>
      <c r="DB4" s="29"/>
      <c r="DC4" s="29"/>
      <c r="DD4" s="29"/>
      <c r="DE4" s="29"/>
      <c r="DF4" s="29"/>
      <c r="DG4" s="29"/>
      <c r="DH4" s="29"/>
      <c r="DI4" s="29"/>
      <c r="DJ4" s="29"/>
      <c r="DK4" s="29"/>
      <c r="DL4" s="29"/>
      <c r="DM4" s="29"/>
      <c r="DN4" s="29"/>
      <c r="DO4" s="29"/>
      <c r="DP4" s="29"/>
      <c r="DQ4" s="29"/>
      <c r="DR4" s="29"/>
      <c r="DS4" s="29"/>
      <c r="DT4" s="29"/>
      <c r="DU4" s="29"/>
      <c r="DV4" s="29"/>
      <c r="DW4" s="29"/>
      <c r="DX4" s="29"/>
      <c r="DY4" s="29"/>
      <c r="DZ4" s="29"/>
      <c r="EA4" s="29"/>
      <c r="EB4" s="29"/>
      <c r="EC4" s="29"/>
      <c r="ED4" s="29"/>
      <c r="EE4" s="29"/>
      <c r="EF4" s="29"/>
      <c r="EG4" s="29"/>
      <c r="EH4" s="29"/>
      <c r="EI4" s="29"/>
      <c r="EJ4" s="29"/>
      <c r="EK4" s="29"/>
      <c r="EL4" s="29"/>
      <c r="EM4" s="29"/>
      <c r="EN4" s="29"/>
      <c r="EO4" s="29"/>
      <c r="EP4" s="29"/>
      <c r="EQ4" s="29"/>
      <c r="ER4" s="29"/>
      <c r="ES4" s="29"/>
      <c r="ET4" s="29"/>
      <c r="EU4" s="29"/>
      <c r="EV4" s="29"/>
      <c r="EW4" s="29"/>
      <c r="EX4" s="29"/>
      <c r="EY4" s="29"/>
      <c r="EZ4" s="29"/>
      <c r="FA4" s="29"/>
      <c r="FB4" s="29"/>
      <c r="FC4" s="29"/>
      <c r="FD4" s="29"/>
      <c r="FE4" s="29"/>
      <c r="FF4" s="29"/>
      <c r="FG4" s="29"/>
      <c r="FH4" s="29"/>
      <c r="FI4" s="29"/>
      <c r="FJ4" s="29"/>
      <c r="FK4" s="29"/>
      <c r="FL4" s="29"/>
      <c r="FM4" s="29"/>
      <c r="FN4" s="29"/>
      <c r="FO4" s="29"/>
      <c r="FP4" s="29"/>
      <c r="FQ4" s="29"/>
      <c r="FR4" s="29"/>
      <c r="FS4" s="29"/>
      <c r="FT4" s="29"/>
      <c r="FU4" s="29"/>
      <c r="FV4" s="29"/>
      <c r="FW4" s="29"/>
      <c r="FX4" s="29"/>
      <c r="FY4" s="29"/>
      <c r="FZ4" s="29"/>
      <c r="GA4" s="29"/>
      <c r="GB4" s="29"/>
      <c r="GC4" s="29"/>
      <c r="GD4" s="29"/>
      <c r="GE4" s="29"/>
      <c r="GF4" s="29"/>
      <c r="GG4" s="29"/>
      <c r="GH4" s="29"/>
      <c r="GI4" s="29"/>
      <c r="GJ4" s="29"/>
      <c r="GK4" s="29"/>
      <c r="GL4" s="29"/>
      <c r="GM4" s="29"/>
      <c r="GN4" s="29"/>
      <c r="GO4" s="29"/>
      <c r="GP4" s="29"/>
      <c r="GQ4" s="29"/>
      <c r="GR4" s="29"/>
      <c r="GS4" s="29"/>
      <c r="GT4" s="29"/>
      <c r="GU4" s="29"/>
      <c r="GV4" s="29"/>
      <c r="GW4" s="29"/>
      <c r="GX4" s="29"/>
      <c r="GY4" s="29"/>
      <c r="GZ4" s="29"/>
      <c r="HA4" s="29"/>
      <c r="HB4" s="29"/>
      <c r="HC4" s="29"/>
      <c r="HD4" s="29"/>
      <c r="HE4" s="29"/>
      <c r="HF4" s="29"/>
      <c r="HG4" s="29"/>
      <c r="HH4" s="29"/>
      <c r="HI4" s="29"/>
      <c r="HJ4" s="29"/>
      <c r="HK4" s="29"/>
      <c r="HL4" s="29"/>
      <c r="HM4" s="29"/>
      <c r="HN4" s="29"/>
      <c r="HO4" s="29"/>
      <c r="HP4" s="29"/>
      <c r="HQ4" s="29"/>
      <c r="HR4" s="29"/>
      <c r="HS4" s="29"/>
      <c r="HT4" s="29"/>
      <c r="HU4" s="29"/>
      <c r="HV4" s="29"/>
      <c r="HW4" s="29"/>
      <c r="HX4" s="29"/>
      <c r="HY4" s="29"/>
      <c r="HZ4" s="29"/>
      <c r="IA4" s="29"/>
      <c r="IB4" s="29"/>
      <c r="IC4" s="29"/>
      <c r="ID4" s="29"/>
      <c r="IE4" s="29"/>
      <c r="IF4" s="29"/>
      <c r="IG4" s="29"/>
      <c r="IH4" s="29"/>
      <c r="II4" s="29"/>
      <c r="IJ4" s="29"/>
      <c r="IK4" s="29"/>
      <c r="IL4" s="29"/>
      <c r="IM4" s="29"/>
      <c r="IN4" s="29"/>
      <c r="IO4" s="29"/>
      <c r="IP4" s="29"/>
      <c r="IQ4" s="29"/>
      <c r="IR4" s="29"/>
      <c r="IS4" s="29"/>
      <c r="IT4" s="29"/>
      <c r="IU4" s="29"/>
      <c r="IV4" s="29"/>
    </row>
    <row r="5" spans="1:256" s="26" customFormat="1" ht="28.15" customHeight="1">
      <c r="A5" s="61"/>
      <c r="B5" s="108"/>
      <c r="C5" s="63" t="str">
        <f>'2-PL_EN'!E4</f>
        <v xml:space="preserve">Monetary Unit: CNY </v>
      </c>
    </row>
    <row r="6" spans="1:256" s="27" customFormat="1" ht="28.15" customHeight="1">
      <c r="A6" s="145" t="s">
        <v>3</v>
      </c>
      <c r="B6" s="146" t="s">
        <v>21</v>
      </c>
      <c r="C6" s="147" t="s">
        <v>22</v>
      </c>
      <c r="E6" s="27" t="s">
        <v>501</v>
      </c>
    </row>
    <row r="7" spans="1:256" customFormat="1" ht="33" customHeight="1">
      <c r="A7" s="148" t="s">
        <v>528</v>
      </c>
      <c r="B7" s="149"/>
      <c r="C7" s="286">
        <f>'2-PL_EN'!D27</f>
        <v>0</v>
      </c>
      <c r="D7" s="29"/>
      <c r="E7" s="184" t="s">
        <v>459</v>
      </c>
      <c r="F7" s="185" t="s">
        <v>460</v>
      </c>
      <c r="G7" s="186" t="s">
        <v>461</v>
      </c>
      <c r="H7" s="29"/>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29"/>
      <c r="CW7" s="29"/>
      <c r="CX7" s="29"/>
      <c r="CY7" s="29"/>
      <c r="CZ7" s="29"/>
      <c r="DA7" s="29"/>
      <c r="DB7" s="29"/>
      <c r="DC7" s="29"/>
      <c r="DD7" s="29"/>
      <c r="DE7" s="29"/>
      <c r="DF7" s="29"/>
      <c r="DG7" s="29"/>
      <c r="DH7" s="29"/>
      <c r="DI7" s="29"/>
      <c r="DJ7" s="29"/>
      <c r="DK7" s="29"/>
      <c r="DL7" s="29"/>
      <c r="DM7" s="29"/>
      <c r="DN7" s="29"/>
      <c r="DO7" s="29"/>
      <c r="DP7" s="29"/>
      <c r="DQ7" s="29"/>
      <c r="DR7" s="29"/>
      <c r="DS7" s="29"/>
      <c r="DT7" s="29"/>
      <c r="DU7" s="29"/>
      <c r="DV7" s="29"/>
      <c r="DW7" s="29"/>
      <c r="DX7" s="29"/>
      <c r="DY7" s="29"/>
      <c r="DZ7" s="29"/>
      <c r="EA7" s="29"/>
      <c r="EB7" s="29"/>
      <c r="EC7" s="29"/>
      <c r="ED7" s="29"/>
      <c r="EE7" s="29"/>
      <c r="EF7" s="29"/>
      <c r="EG7" s="29"/>
      <c r="EH7" s="29"/>
      <c r="EI7" s="29"/>
      <c r="EJ7" s="29"/>
      <c r="EK7" s="29"/>
      <c r="EL7" s="29"/>
      <c r="EM7" s="29"/>
      <c r="EN7" s="29"/>
      <c r="EO7" s="29"/>
      <c r="EP7" s="29"/>
      <c r="EQ7" s="29"/>
      <c r="ER7" s="29"/>
      <c r="ES7" s="29"/>
      <c r="ET7" s="29"/>
      <c r="EU7" s="29"/>
      <c r="EV7" s="29"/>
      <c r="EW7" s="29"/>
      <c r="EX7" s="29"/>
      <c r="EY7" s="29"/>
      <c r="EZ7" s="29"/>
      <c r="FA7" s="29"/>
      <c r="FB7" s="29"/>
      <c r="FC7" s="29"/>
      <c r="FD7" s="29"/>
      <c r="FE7" s="29"/>
      <c r="FF7" s="29"/>
      <c r="FG7" s="29"/>
      <c r="FH7" s="29"/>
      <c r="FI7" s="29"/>
      <c r="FJ7" s="29"/>
      <c r="FK7" s="29"/>
      <c r="FL7" s="29"/>
      <c r="FM7" s="29"/>
      <c r="FN7" s="29"/>
      <c r="FO7" s="29"/>
      <c r="FP7" s="29"/>
      <c r="FQ7" s="29"/>
      <c r="FR7" s="29"/>
      <c r="FS7" s="29"/>
      <c r="FT7" s="29"/>
      <c r="FU7" s="29"/>
      <c r="FV7" s="29"/>
      <c r="FW7" s="29"/>
      <c r="FX7" s="29"/>
      <c r="FY7" s="29"/>
      <c r="FZ7" s="29"/>
      <c r="GA7" s="29"/>
      <c r="GB7" s="29"/>
      <c r="GC7" s="29"/>
      <c r="GD7" s="29"/>
      <c r="GE7" s="29"/>
      <c r="GF7" s="29"/>
      <c r="GG7" s="29"/>
      <c r="GH7" s="29"/>
      <c r="GI7" s="29"/>
      <c r="GJ7" s="29"/>
      <c r="GK7" s="29"/>
      <c r="GL7" s="29"/>
      <c r="GM7" s="29"/>
      <c r="GN7" s="29"/>
      <c r="GO7" s="29"/>
      <c r="GP7" s="29"/>
      <c r="GQ7" s="29"/>
      <c r="GR7" s="29"/>
      <c r="GS7" s="29"/>
      <c r="GT7" s="29"/>
      <c r="GU7" s="29"/>
      <c r="GV7" s="29"/>
      <c r="GW7" s="29"/>
      <c r="GX7" s="29"/>
      <c r="GY7" s="29"/>
      <c r="GZ7" s="29"/>
      <c r="HA7" s="29"/>
      <c r="HB7" s="29"/>
      <c r="HC7" s="29"/>
      <c r="HD7" s="29"/>
      <c r="HE7" s="29"/>
      <c r="HF7" s="29"/>
      <c r="HG7" s="29"/>
      <c r="HH7" s="29"/>
      <c r="HI7" s="29"/>
      <c r="HJ7" s="29"/>
      <c r="HK7" s="29"/>
      <c r="HL7" s="29"/>
      <c r="HM7" s="29"/>
      <c r="HN7" s="29"/>
      <c r="HO7" s="29"/>
      <c r="HP7" s="29"/>
      <c r="HQ7" s="29"/>
      <c r="HR7" s="29"/>
      <c r="HS7" s="29"/>
      <c r="HT7" s="29"/>
      <c r="HU7" s="29"/>
      <c r="HV7" s="29"/>
      <c r="HW7" s="29"/>
      <c r="HX7" s="29"/>
      <c r="HY7" s="29"/>
      <c r="HZ7" s="29"/>
      <c r="IA7" s="29"/>
      <c r="IB7" s="29"/>
      <c r="IC7" s="29"/>
      <c r="ID7" s="29"/>
      <c r="IE7" s="29"/>
      <c r="IF7" s="29"/>
      <c r="IG7" s="29"/>
      <c r="IH7" s="29"/>
      <c r="II7" s="29"/>
      <c r="IJ7" s="29"/>
      <c r="IK7" s="29"/>
      <c r="IL7" s="29"/>
      <c r="IM7" s="29"/>
      <c r="IN7" s="29"/>
      <c r="IO7" s="29"/>
      <c r="IP7" s="29"/>
      <c r="IQ7" s="29"/>
      <c r="IR7" s="29"/>
      <c r="IS7" s="29"/>
      <c r="IT7" s="29"/>
      <c r="IU7" s="29"/>
      <c r="IV7" s="29"/>
    </row>
    <row r="8" spans="1:256" customFormat="1" ht="33" customHeight="1">
      <c r="A8" s="150" t="s">
        <v>527</v>
      </c>
      <c r="B8" s="149"/>
      <c r="C8" s="287">
        <f>C9+C10+C11</f>
        <v>0</v>
      </c>
      <c r="D8" s="29"/>
      <c r="E8" s="184" t="s">
        <v>462</v>
      </c>
      <c r="F8" s="185" t="s">
        <v>463</v>
      </c>
      <c r="G8" s="186" t="s">
        <v>464</v>
      </c>
      <c r="H8" s="29"/>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c r="CZ8" s="29"/>
      <c r="DA8" s="29"/>
      <c r="DB8" s="29"/>
      <c r="DC8" s="29"/>
      <c r="DD8" s="29"/>
      <c r="DE8" s="29"/>
      <c r="DF8" s="29"/>
      <c r="DG8" s="29"/>
      <c r="DH8" s="29"/>
      <c r="DI8" s="29"/>
      <c r="DJ8" s="29"/>
      <c r="DK8" s="29"/>
      <c r="DL8" s="29"/>
      <c r="DM8" s="29"/>
      <c r="DN8" s="29"/>
      <c r="DO8" s="29"/>
      <c r="DP8" s="29"/>
      <c r="DQ8" s="29"/>
      <c r="DR8" s="29"/>
      <c r="DS8" s="29"/>
      <c r="DT8" s="29"/>
      <c r="DU8" s="29"/>
      <c r="DV8" s="29"/>
      <c r="DW8" s="29"/>
      <c r="DX8" s="29"/>
      <c r="DY8" s="29"/>
      <c r="DZ8" s="29"/>
      <c r="EA8" s="29"/>
      <c r="EB8" s="29"/>
      <c r="EC8" s="29"/>
      <c r="ED8" s="29"/>
      <c r="EE8" s="29"/>
      <c r="EF8" s="29"/>
      <c r="EG8" s="29"/>
      <c r="EH8" s="29"/>
      <c r="EI8" s="29"/>
      <c r="EJ8" s="29"/>
      <c r="EK8" s="29"/>
      <c r="EL8" s="29"/>
      <c r="EM8" s="29"/>
      <c r="EN8" s="29"/>
      <c r="EO8" s="29"/>
      <c r="EP8" s="29"/>
      <c r="EQ8" s="29"/>
      <c r="ER8" s="29"/>
      <c r="ES8" s="29"/>
      <c r="ET8" s="29"/>
      <c r="EU8" s="29"/>
      <c r="EV8" s="29"/>
      <c r="EW8" s="29"/>
      <c r="EX8" s="29"/>
      <c r="EY8" s="29"/>
      <c r="EZ8" s="29"/>
      <c r="FA8" s="29"/>
      <c r="FB8" s="29"/>
      <c r="FC8" s="29"/>
      <c r="FD8" s="29"/>
      <c r="FE8" s="29"/>
      <c r="FF8" s="29"/>
      <c r="FG8" s="29"/>
      <c r="FH8" s="29"/>
      <c r="FI8" s="29"/>
      <c r="FJ8" s="29"/>
      <c r="FK8" s="29"/>
      <c r="FL8" s="29"/>
      <c r="FM8" s="29"/>
      <c r="FN8" s="29"/>
      <c r="FO8" s="29"/>
      <c r="FP8" s="29"/>
      <c r="FQ8" s="29"/>
      <c r="FR8" s="29"/>
      <c r="FS8" s="29"/>
      <c r="FT8" s="29"/>
      <c r="FU8" s="29"/>
      <c r="FV8" s="29"/>
      <c r="FW8" s="29"/>
      <c r="FX8" s="29"/>
      <c r="FY8" s="29"/>
      <c r="FZ8" s="29"/>
      <c r="GA8" s="29"/>
      <c r="GB8" s="29"/>
      <c r="GC8" s="29"/>
      <c r="GD8" s="29"/>
      <c r="GE8" s="29"/>
      <c r="GF8" s="29"/>
      <c r="GG8" s="29"/>
      <c r="GH8" s="29"/>
      <c r="GI8" s="29"/>
      <c r="GJ8" s="29"/>
      <c r="GK8" s="29"/>
      <c r="GL8" s="29"/>
      <c r="GM8" s="29"/>
      <c r="GN8" s="29"/>
      <c r="GO8" s="29"/>
      <c r="GP8" s="29"/>
      <c r="GQ8" s="29"/>
      <c r="GR8" s="29"/>
      <c r="GS8" s="29"/>
      <c r="GT8" s="29"/>
      <c r="GU8" s="29"/>
      <c r="GV8" s="29"/>
      <c r="GW8" s="29"/>
      <c r="GX8" s="29"/>
      <c r="GY8" s="29"/>
      <c r="GZ8" s="29"/>
      <c r="HA8" s="29"/>
      <c r="HB8" s="29"/>
      <c r="HC8" s="29"/>
      <c r="HD8" s="29"/>
      <c r="HE8" s="29"/>
      <c r="HF8" s="29"/>
      <c r="HG8" s="29"/>
      <c r="HH8" s="29"/>
      <c r="HI8" s="29"/>
      <c r="HJ8" s="29"/>
      <c r="HK8" s="29"/>
      <c r="HL8" s="29"/>
      <c r="HM8" s="29"/>
      <c r="HN8" s="29"/>
      <c r="HO8" s="29"/>
      <c r="HP8" s="29"/>
      <c r="HQ8" s="29"/>
      <c r="HR8" s="29"/>
      <c r="HS8" s="29"/>
      <c r="HT8" s="29"/>
      <c r="HU8" s="29"/>
      <c r="HV8" s="29"/>
      <c r="HW8" s="29"/>
      <c r="HX8" s="29"/>
      <c r="HY8" s="29"/>
      <c r="HZ8" s="29"/>
      <c r="IA8" s="29"/>
      <c r="IB8" s="29"/>
      <c r="IC8" s="29"/>
      <c r="ID8" s="29"/>
      <c r="IE8" s="29"/>
      <c r="IF8" s="29"/>
      <c r="IG8" s="29"/>
      <c r="IH8" s="29"/>
      <c r="II8" s="29"/>
      <c r="IJ8" s="29"/>
      <c r="IK8" s="29"/>
      <c r="IL8" s="29"/>
      <c r="IM8" s="29"/>
      <c r="IN8" s="29"/>
      <c r="IO8" s="29"/>
      <c r="IP8" s="29"/>
      <c r="IQ8" s="29"/>
      <c r="IR8" s="29"/>
      <c r="IS8" s="29"/>
      <c r="IT8" s="29"/>
      <c r="IU8" s="29"/>
      <c r="IV8" s="29"/>
    </row>
    <row r="9" spans="1:256" customFormat="1" ht="33" customHeight="1">
      <c r="A9" s="150"/>
      <c r="B9" s="151"/>
      <c r="C9" s="287">
        <f>'6-CIT_CN'!C9</f>
        <v>0</v>
      </c>
      <c r="D9" s="29"/>
      <c r="E9" s="184" t="s">
        <v>465</v>
      </c>
      <c r="F9" s="185" t="s">
        <v>463</v>
      </c>
      <c r="G9" s="186" t="s">
        <v>502</v>
      </c>
      <c r="H9" s="29"/>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29"/>
      <c r="BT9" s="29"/>
      <c r="BU9" s="29"/>
      <c r="BV9" s="29"/>
      <c r="BW9" s="29"/>
      <c r="BX9" s="29"/>
      <c r="BY9" s="29"/>
      <c r="BZ9" s="29"/>
      <c r="CA9" s="29"/>
      <c r="CB9" s="29"/>
      <c r="CC9" s="29"/>
      <c r="CD9" s="29"/>
      <c r="CE9" s="29"/>
      <c r="CF9" s="29"/>
      <c r="CG9" s="29"/>
      <c r="CH9" s="29"/>
      <c r="CI9" s="29"/>
      <c r="CJ9" s="29"/>
      <c r="CK9" s="29"/>
      <c r="CL9" s="29"/>
      <c r="CM9" s="29"/>
      <c r="CN9" s="29"/>
      <c r="CO9" s="29"/>
      <c r="CP9" s="29"/>
      <c r="CQ9" s="29"/>
      <c r="CR9" s="29"/>
      <c r="CS9" s="29"/>
      <c r="CT9" s="29"/>
      <c r="CU9" s="29"/>
      <c r="CV9" s="29"/>
      <c r="CW9" s="29"/>
      <c r="CX9" s="29"/>
      <c r="CY9" s="29"/>
      <c r="CZ9" s="29"/>
      <c r="DA9" s="29"/>
      <c r="DB9" s="29"/>
      <c r="DC9" s="29"/>
      <c r="DD9" s="29"/>
      <c r="DE9" s="29"/>
      <c r="DF9" s="29"/>
      <c r="DG9" s="29"/>
      <c r="DH9" s="29"/>
      <c r="DI9" s="29"/>
      <c r="DJ9" s="29"/>
      <c r="DK9" s="29"/>
      <c r="DL9" s="29"/>
      <c r="DM9" s="29"/>
      <c r="DN9" s="29"/>
      <c r="DO9" s="29"/>
      <c r="DP9" s="29"/>
      <c r="DQ9" s="29"/>
      <c r="DR9" s="29"/>
      <c r="DS9" s="29"/>
      <c r="DT9" s="29"/>
      <c r="DU9" s="29"/>
      <c r="DV9" s="29"/>
      <c r="DW9" s="29"/>
      <c r="DX9" s="29"/>
      <c r="DY9" s="29"/>
      <c r="DZ9" s="29"/>
      <c r="EA9" s="29"/>
      <c r="EB9" s="29"/>
      <c r="EC9" s="29"/>
      <c r="ED9" s="29"/>
      <c r="EE9" s="29"/>
      <c r="EF9" s="29"/>
      <c r="EG9" s="29"/>
      <c r="EH9" s="29"/>
      <c r="EI9" s="29"/>
      <c r="EJ9" s="29"/>
      <c r="EK9" s="29"/>
      <c r="EL9" s="29"/>
      <c r="EM9" s="29"/>
      <c r="EN9" s="29"/>
      <c r="EO9" s="29"/>
      <c r="EP9" s="29"/>
      <c r="EQ9" s="29"/>
      <c r="ER9" s="29"/>
      <c r="ES9" s="29"/>
      <c r="ET9" s="29"/>
      <c r="EU9" s="29"/>
      <c r="EV9" s="29"/>
      <c r="EW9" s="29"/>
      <c r="EX9" s="29"/>
      <c r="EY9" s="29"/>
      <c r="EZ9" s="29"/>
      <c r="FA9" s="29"/>
      <c r="FB9" s="29"/>
      <c r="FC9" s="29"/>
      <c r="FD9" s="29"/>
      <c r="FE9" s="29"/>
      <c r="FF9" s="29"/>
      <c r="FG9" s="29"/>
      <c r="FH9" s="29"/>
      <c r="FI9" s="29"/>
      <c r="FJ9" s="29"/>
      <c r="FK9" s="29"/>
      <c r="FL9" s="29"/>
      <c r="FM9" s="29"/>
      <c r="FN9" s="29"/>
      <c r="FO9" s="29"/>
      <c r="FP9" s="29"/>
      <c r="FQ9" s="29"/>
      <c r="FR9" s="29"/>
      <c r="FS9" s="29"/>
      <c r="FT9" s="29"/>
      <c r="FU9" s="29"/>
      <c r="FV9" s="29"/>
      <c r="FW9" s="29"/>
      <c r="FX9" s="29"/>
      <c r="FY9" s="29"/>
      <c r="FZ9" s="29"/>
      <c r="GA9" s="29"/>
      <c r="GB9" s="29"/>
      <c r="GC9" s="29"/>
      <c r="GD9" s="29"/>
      <c r="GE9" s="29"/>
      <c r="GF9" s="29"/>
      <c r="GG9" s="29"/>
      <c r="GH9" s="29"/>
      <c r="GI9" s="29"/>
      <c r="GJ9" s="29"/>
      <c r="GK9" s="29"/>
      <c r="GL9" s="29"/>
      <c r="GM9" s="29"/>
      <c r="GN9" s="29"/>
      <c r="GO9" s="29"/>
      <c r="GP9" s="29"/>
      <c r="GQ9" s="29"/>
      <c r="GR9" s="29"/>
      <c r="GS9" s="29"/>
      <c r="GT9" s="29"/>
      <c r="GU9" s="29"/>
      <c r="GV9" s="29"/>
      <c r="GW9" s="29"/>
      <c r="GX9" s="29"/>
      <c r="GY9" s="29"/>
      <c r="GZ9" s="29"/>
      <c r="HA9" s="29"/>
      <c r="HB9" s="29"/>
      <c r="HC9" s="29"/>
      <c r="HD9" s="29"/>
      <c r="HE9" s="29"/>
      <c r="HF9" s="29"/>
      <c r="HG9" s="29"/>
      <c r="HH9" s="29"/>
      <c r="HI9" s="29"/>
      <c r="HJ9" s="29"/>
      <c r="HK9" s="29"/>
      <c r="HL9" s="29"/>
      <c r="HM9" s="29"/>
      <c r="HN9" s="29"/>
      <c r="HO9" s="29"/>
      <c r="HP9" s="29"/>
      <c r="HQ9" s="29"/>
      <c r="HR9" s="29"/>
      <c r="HS9" s="29"/>
      <c r="HT9" s="29"/>
      <c r="HU9" s="29"/>
      <c r="HV9" s="29"/>
      <c r="HW9" s="29"/>
      <c r="HX9" s="29"/>
      <c r="HY9" s="29"/>
      <c r="HZ9" s="29"/>
      <c r="IA9" s="29"/>
      <c r="IB9" s="29"/>
      <c r="IC9" s="29"/>
      <c r="ID9" s="29"/>
      <c r="IE9" s="29"/>
      <c r="IF9" s="29"/>
      <c r="IG9" s="29"/>
      <c r="IH9" s="29"/>
      <c r="II9" s="29"/>
      <c r="IJ9" s="29"/>
      <c r="IK9" s="29"/>
      <c r="IL9" s="29"/>
      <c r="IM9" s="29"/>
      <c r="IN9" s="29"/>
      <c r="IO9" s="29"/>
      <c r="IP9" s="29"/>
      <c r="IQ9" s="29"/>
      <c r="IR9" s="29"/>
      <c r="IS9" s="29"/>
      <c r="IT9" s="29"/>
      <c r="IU9" s="29"/>
      <c r="IV9" s="29"/>
    </row>
    <row r="10" spans="1:256" customFormat="1" ht="33" customHeight="1">
      <c r="A10" s="150"/>
      <c r="B10" s="151" t="s">
        <v>205</v>
      </c>
      <c r="C10" s="287">
        <f>'6-CIT_CN'!C10</f>
        <v>0</v>
      </c>
      <c r="D10" s="29"/>
      <c r="E10" s="184" t="s">
        <v>466</v>
      </c>
      <c r="F10" s="185" t="s">
        <v>463</v>
      </c>
      <c r="G10" s="186" t="s">
        <v>467</v>
      </c>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c r="CF10" s="29"/>
      <c r="CG10" s="29"/>
      <c r="CH10" s="29"/>
      <c r="CI10" s="29"/>
      <c r="CJ10" s="29"/>
      <c r="CK10" s="29"/>
      <c r="CL10" s="29"/>
      <c r="CM10" s="29"/>
      <c r="CN10" s="29"/>
      <c r="CO10" s="29"/>
      <c r="CP10" s="29"/>
      <c r="CQ10" s="29"/>
      <c r="CR10" s="29"/>
      <c r="CS10" s="29"/>
      <c r="CT10" s="29"/>
      <c r="CU10" s="29"/>
      <c r="CV10" s="29"/>
      <c r="CW10" s="29"/>
      <c r="CX10" s="29"/>
      <c r="CY10" s="29"/>
      <c r="CZ10" s="29"/>
      <c r="DA10" s="29"/>
      <c r="DB10" s="29"/>
      <c r="DC10" s="29"/>
      <c r="DD10" s="29"/>
      <c r="DE10" s="29"/>
      <c r="DF10" s="29"/>
      <c r="DG10" s="29"/>
      <c r="DH10" s="29"/>
      <c r="DI10" s="29"/>
      <c r="DJ10" s="29"/>
      <c r="DK10" s="29"/>
      <c r="DL10" s="29"/>
      <c r="DM10" s="29"/>
      <c r="DN10" s="29"/>
      <c r="DO10" s="29"/>
      <c r="DP10" s="29"/>
      <c r="DQ10" s="29"/>
      <c r="DR10" s="29"/>
      <c r="DS10" s="29"/>
      <c r="DT10" s="29"/>
      <c r="DU10" s="29"/>
      <c r="DV10" s="29"/>
      <c r="DW10" s="29"/>
      <c r="DX10" s="29"/>
      <c r="DY10" s="29"/>
      <c r="DZ10" s="29"/>
      <c r="EA10" s="29"/>
      <c r="EB10" s="29"/>
      <c r="EC10" s="29"/>
      <c r="ED10" s="29"/>
      <c r="EE10" s="29"/>
      <c r="EF10" s="29"/>
      <c r="EG10" s="29"/>
      <c r="EH10" s="29"/>
      <c r="EI10" s="29"/>
      <c r="EJ10" s="29"/>
      <c r="EK10" s="29"/>
      <c r="EL10" s="29"/>
      <c r="EM10" s="29"/>
      <c r="EN10" s="29"/>
      <c r="EO10" s="29"/>
      <c r="EP10" s="29"/>
      <c r="EQ10" s="29"/>
      <c r="ER10" s="29"/>
      <c r="ES10" s="29"/>
      <c r="ET10" s="29"/>
      <c r="EU10" s="29"/>
      <c r="EV10" s="29"/>
      <c r="EW10" s="29"/>
      <c r="EX10" s="29"/>
      <c r="EY10" s="29"/>
      <c r="EZ10" s="29"/>
      <c r="FA10" s="29"/>
      <c r="FB10" s="29"/>
      <c r="FC10" s="29"/>
      <c r="FD10" s="29"/>
      <c r="FE10" s="29"/>
      <c r="FF10" s="29"/>
      <c r="FG10" s="29"/>
      <c r="FH10" s="29"/>
      <c r="FI10" s="29"/>
      <c r="FJ10" s="29"/>
      <c r="FK10" s="29"/>
      <c r="FL10" s="29"/>
      <c r="FM10" s="29"/>
      <c r="FN10" s="29"/>
      <c r="FO10" s="29"/>
      <c r="FP10" s="29"/>
      <c r="FQ10" s="29"/>
      <c r="FR10" s="29"/>
      <c r="FS10" s="29"/>
      <c r="FT10" s="29"/>
      <c r="FU10" s="29"/>
      <c r="FV10" s="29"/>
      <c r="FW10" s="29"/>
      <c r="FX10" s="29"/>
      <c r="FY10" s="29"/>
      <c r="FZ10" s="29"/>
      <c r="GA10" s="29"/>
      <c r="GB10" s="29"/>
      <c r="GC10" s="29"/>
      <c r="GD10" s="29"/>
      <c r="GE10" s="29"/>
      <c r="GF10" s="29"/>
      <c r="GG10" s="29"/>
      <c r="GH10" s="29"/>
      <c r="GI10" s="29"/>
      <c r="GJ10" s="29"/>
      <c r="GK10" s="29"/>
      <c r="GL10" s="29"/>
      <c r="GM10" s="29"/>
      <c r="GN10" s="29"/>
      <c r="GO10" s="29"/>
      <c r="GP10" s="29"/>
      <c r="GQ10" s="29"/>
      <c r="GR10" s="29"/>
      <c r="GS10" s="29"/>
      <c r="GT10" s="29"/>
      <c r="GU10" s="29"/>
      <c r="GV10" s="29"/>
      <c r="GW10" s="29"/>
      <c r="GX10" s="29"/>
      <c r="GY10" s="29"/>
      <c r="GZ10" s="29"/>
      <c r="HA10" s="29"/>
      <c r="HB10" s="29"/>
      <c r="HC10" s="29"/>
      <c r="HD10" s="29"/>
      <c r="HE10" s="29"/>
      <c r="HF10" s="29"/>
      <c r="HG10" s="29"/>
      <c r="HH10" s="29"/>
      <c r="HI10" s="29"/>
      <c r="HJ10" s="29"/>
      <c r="HK10" s="29"/>
      <c r="HL10" s="29"/>
      <c r="HM10" s="29"/>
      <c r="HN10" s="29"/>
      <c r="HO10" s="29"/>
      <c r="HP10" s="29"/>
      <c r="HQ10" s="29"/>
      <c r="HR10" s="29"/>
      <c r="HS10" s="29"/>
      <c r="HT10" s="29"/>
      <c r="HU10" s="29"/>
      <c r="HV10" s="29"/>
      <c r="HW10" s="29"/>
      <c r="HX10" s="29"/>
      <c r="HY10" s="29"/>
      <c r="HZ10" s="29"/>
      <c r="IA10" s="29"/>
      <c r="IB10" s="29"/>
      <c r="IC10" s="29"/>
      <c r="ID10" s="29"/>
      <c r="IE10" s="29"/>
      <c r="IF10" s="29"/>
      <c r="IG10" s="29"/>
      <c r="IH10" s="29"/>
      <c r="II10" s="29"/>
      <c r="IJ10" s="29"/>
      <c r="IK10" s="29"/>
      <c r="IL10" s="29"/>
      <c r="IM10" s="29"/>
      <c r="IN10" s="29"/>
      <c r="IO10" s="29"/>
      <c r="IP10" s="29"/>
      <c r="IQ10" s="29"/>
      <c r="IR10" s="29"/>
      <c r="IS10" s="29"/>
      <c r="IT10" s="29"/>
      <c r="IU10" s="29"/>
      <c r="IV10" s="29"/>
    </row>
    <row r="11" spans="1:256" customFormat="1" ht="33" customHeight="1">
      <c r="A11" s="150"/>
      <c r="B11" s="151"/>
      <c r="C11" s="287">
        <f>'6-CIT_CN'!C11</f>
        <v>0</v>
      </c>
      <c r="D11" s="29"/>
      <c r="E11" s="184" t="s">
        <v>468</v>
      </c>
      <c r="F11" s="185" t="s">
        <v>463</v>
      </c>
      <c r="G11" s="186" t="s">
        <v>469</v>
      </c>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c r="GQ11" s="29"/>
      <c r="GR11" s="29"/>
      <c r="GS11" s="29"/>
      <c r="GT11" s="29"/>
      <c r="GU11" s="29"/>
      <c r="GV11" s="29"/>
      <c r="GW11" s="29"/>
      <c r="GX11" s="29"/>
      <c r="GY11" s="29"/>
      <c r="GZ11" s="29"/>
      <c r="HA11" s="29"/>
      <c r="HB11" s="29"/>
      <c r="HC11" s="29"/>
      <c r="HD11" s="29"/>
      <c r="HE11" s="29"/>
      <c r="HF11" s="29"/>
      <c r="HG11" s="29"/>
      <c r="HH11" s="29"/>
      <c r="HI11" s="29"/>
      <c r="HJ11" s="29"/>
      <c r="HK11" s="29"/>
      <c r="HL11" s="29"/>
      <c r="HM11" s="29"/>
      <c r="HN11" s="29"/>
      <c r="HO11" s="29"/>
      <c r="HP11" s="29"/>
      <c r="HQ11" s="29"/>
      <c r="HR11" s="29"/>
      <c r="HS11" s="29"/>
      <c r="HT11" s="29"/>
      <c r="HU11" s="29"/>
      <c r="HV11" s="29"/>
      <c r="HW11" s="29"/>
      <c r="HX11" s="29"/>
      <c r="HY11" s="29"/>
      <c r="HZ11" s="29"/>
      <c r="IA11" s="29"/>
      <c r="IB11" s="29"/>
      <c r="IC11" s="29"/>
      <c r="ID11" s="29"/>
      <c r="IE11" s="29"/>
      <c r="IF11" s="29"/>
      <c r="IG11" s="29"/>
      <c r="IH11" s="29"/>
      <c r="II11" s="29"/>
      <c r="IJ11" s="29"/>
      <c r="IK11" s="29"/>
      <c r="IL11" s="29"/>
      <c r="IM11" s="29"/>
      <c r="IN11" s="29"/>
      <c r="IO11" s="29"/>
      <c r="IP11" s="29"/>
      <c r="IQ11" s="29"/>
      <c r="IR11" s="29"/>
      <c r="IS11" s="29"/>
      <c r="IT11" s="29"/>
      <c r="IU11" s="29"/>
      <c r="IV11" s="29"/>
    </row>
    <row r="12" spans="1:256" customFormat="1" ht="33" customHeight="1">
      <c r="A12" s="150" t="s">
        <v>529</v>
      </c>
      <c r="B12" s="151"/>
      <c r="C12" s="287">
        <f>SUM(C13:C14)</f>
        <v>0</v>
      </c>
      <c r="D12" s="29"/>
      <c r="E12" s="184" t="s">
        <v>470</v>
      </c>
      <c r="F12" s="185" t="s">
        <v>463</v>
      </c>
      <c r="G12" s="186" t="s">
        <v>471</v>
      </c>
      <c r="H12" s="29"/>
      <c r="I12" s="29"/>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c r="CN12" s="29"/>
      <c r="CO12" s="29"/>
      <c r="CP12" s="29"/>
      <c r="CQ12" s="29"/>
      <c r="CR12" s="29"/>
      <c r="CS12" s="29"/>
      <c r="CT12" s="29"/>
      <c r="CU12" s="29"/>
      <c r="CV12" s="29"/>
      <c r="CW12" s="29"/>
      <c r="CX12" s="29"/>
      <c r="CY12" s="29"/>
      <c r="CZ12" s="29"/>
      <c r="DA12" s="29"/>
      <c r="DB12" s="29"/>
      <c r="DC12" s="29"/>
      <c r="DD12" s="29"/>
      <c r="DE12" s="29"/>
      <c r="DF12" s="29"/>
      <c r="DG12" s="29"/>
      <c r="DH12" s="29"/>
      <c r="DI12" s="29"/>
      <c r="DJ12" s="29"/>
      <c r="DK12" s="29"/>
      <c r="DL12" s="29"/>
      <c r="DM12" s="29"/>
      <c r="DN12" s="29"/>
      <c r="DO12" s="29"/>
      <c r="DP12" s="29"/>
      <c r="DQ12" s="29"/>
      <c r="DR12" s="29"/>
      <c r="DS12" s="29"/>
      <c r="DT12" s="29"/>
      <c r="DU12" s="29"/>
      <c r="DV12" s="29"/>
      <c r="DW12" s="29"/>
      <c r="DX12" s="29"/>
      <c r="DY12" s="29"/>
      <c r="DZ12" s="29"/>
      <c r="EA12" s="29"/>
      <c r="EB12" s="29"/>
      <c r="EC12" s="29"/>
      <c r="ED12" s="29"/>
      <c r="EE12" s="29"/>
      <c r="EF12" s="29"/>
      <c r="EG12" s="29"/>
      <c r="EH12" s="29"/>
      <c r="EI12" s="29"/>
      <c r="EJ12" s="29"/>
      <c r="EK12" s="29"/>
      <c r="EL12" s="29"/>
      <c r="EM12" s="29"/>
      <c r="EN12" s="29"/>
      <c r="EO12" s="29"/>
      <c r="EP12" s="29"/>
      <c r="EQ12" s="29"/>
      <c r="ER12" s="29"/>
      <c r="ES12" s="29"/>
      <c r="ET12" s="29"/>
      <c r="EU12" s="29"/>
      <c r="EV12" s="29"/>
      <c r="EW12" s="29"/>
      <c r="EX12" s="29"/>
      <c r="EY12" s="29"/>
      <c r="EZ12" s="29"/>
      <c r="FA12" s="29"/>
      <c r="FB12" s="29"/>
      <c r="FC12" s="29"/>
      <c r="FD12" s="29"/>
      <c r="FE12" s="29"/>
      <c r="FF12" s="29"/>
      <c r="FG12" s="29"/>
      <c r="FH12" s="29"/>
      <c r="FI12" s="29"/>
      <c r="FJ12" s="29"/>
      <c r="FK12" s="29"/>
      <c r="FL12" s="29"/>
      <c r="FM12" s="29"/>
      <c r="FN12" s="29"/>
      <c r="FO12" s="29"/>
      <c r="FP12" s="29"/>
      <c r="FQ12" s="29"/>
      <c r="FR12" s="29"/>
      <c r="FS12" s="29"/>
      <c r="FT12" s="29"/>
      <c r="FU12" s="29"/>
      <c r="FV12" s="29"/>
      <c r="FW12" s="29"/>
      <c r="FX12" s="29"/>
      <c r="FY12" s="29"/>
      <c r="FZ12" s="29"/>
      <c r="GA12" s="29"/>
      <c r="GB12" s="29"/>
      <c r="GC12" s="29"/>
      <c r="GD12" s="29"/>
      <c r="GE12" s="29"/>
      <c r="GF12" s="29"/>
      <c r="GG12" s="29"/>
      <c r="GH12" s="29"/>
      <c r="GI12" s="29"/>
      <c r="GJ12" s="29"/>
      <c r="GK12" s="29"/>
      <c r="GL12" s="29"/>
      <c r="GM12" s="29"/>
      <c r="GN12" s="29"/>
      <c r="GO12" s="29"/>
      <c r="GP12" s="29"/>
      <c r="GQ12" s="29"/>
      <c r="GR12" s="29"/>
      <c r="GS12" s="29"/>
      <c r="GT12" s="29"/>
      <c r="GU12" s="29"/>
      <c r="GV12" s="29"/>
      <c r="GW12" s="29"/>
      <c r="GX12" s="29"/>
      <c r="GY12" s="29"/>
      <c r="GZ12" s="29"/>
      <c r="HA12" s="29"/>
      <c r="HB12" s="29"/>
      <c r="HC12" s="29"/>
      <c r="HD12" s="29"/>
      <c r="HE12" s="29"/>
      <c r="HF12" s="29"/>
      <c r="HG12" s="29"/>
      <c r="HH12" s="29"/>
      <c r="HI12" s="29"/>
      <c r="HJ12" s="29"/>
      <c r="HK12" s="29"/>
      <c r="HL12" s="29"/>
      <c r="HM12" s="29"/>
      <c r="HN12" s="29"/>
      <c r="HO12" s="29"/>
      <c r="HP12" s="29"/>
      <c r="HQ12" s="29"/>
      <c r="HR12" s="29"/>
      <c r="HS12" s="29"/>
      <c r="HT12" s="29"/>
      <c r="HU12" s="29"/>
      <c r="HV12" s="29"/>
      <c r="HW12" s="29"/>
      <c r="HX12" s="29"/>
      <c r="HY12" s="29"/>
      <c r="HZ12" s="29"/>
      <c r="IA12" s="29"/>
      <c r="IB12" s="29"/>
      <c r="IC12" s="29"/>
      <c r="ID12" s="29"/>
      <c r="IE12" s="29"/>
      <c r="IF12" s="29"/>
      <c r="IG12" s="29"/>
      <c r="IH12" s="29"/>
      <c r="II12" s="29"/>
      <c r="IJ12" s="29"/>
      <c r="IK12" s="29"/>
      <c r="IL12" s="29"/>
      <c r="IM12" s="29"/>
      <c r="IN12" s="29"/>
      <c r="IO12" s="29"/>
      <c r="IP12" s="29"/>
      <c r="IQ12" s="29"/>
      <c r="IR12" s="29"/>
      <c r="IS12" s="29"/>
      <c r="IT12" s="29"/>
      <c r="IU12" s="29"/>
      <c r="IV12" s="29"/>
    </row>
    <row r="13" spans="1:256" customFormat="1" ht="33.65" customHeight="1">
      <c r="A13" s="152"/>
      <c r="B13" s="151" t="s">
        <v>205</v>
      </c>
      <c r="C13" s="287">
        <f>'6-CIT_CN'!C13</f>
        <v>0</v>
      </c>
      <c r="D13" s="29"/>
      <c r="E13" s="184" t="s">
        <v>472</v>
      </c>
      <c r="F13" s="185" t="s">
        <v>463</v>
      </c>
      <c r="G13" s="186" t="s">
        <v>473</v>
      </c>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row>
    <row r="14" spans="1:256" customFormat="1" ht="33" customHeight="1">
      <c r="A14" s="150"/>
      <c r="B14" s="189"/>
      <c r="C14" s="287">
        <f>'6-CIT_CN'!C14</f>
        <v>0</v>
      </c>
      <c r="D14" s="29"/>
      <c r="E14" s="184" t="s">
        <v>474</v>
      </c>
      <c r="F14" s="185" t="s">
        <v>475</v>
      </c>
      <c r="G14" s="186" t="s">
        <v>476</v>
      </c>
      <c r="H14" s="29"/>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row>
    <row r="15" spans="1:256" customFormat="1" ht="33.65" customHeight="1">
      <c r="A15" s="150" t="s">
        <v>526</v>
      </c>
      <c r="B15" s="153"/>
      <c r="C15" s="287">
        <f>C7+C8-C12</f>
        <v>0</v>
      </c>
      <c r="D15" s="29"/>
      <c r="E15" s="184" t="s">
        <v>477</v>
      </c>
      <c r="F15" s="185" t="s">
        <v>463</v>
      </c>
      <c r="G15" s="186" t="s">
        <v>478</v>
      </c>
      <c r="H15" s="29"/>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row>
    <row r="16" spans="1:256" customFormat="1" ht="33" customHeight="1">
      <c r="A16" s="150" t="s">
        <v>530</v>
      </c>
      <c r="B16" s="149"/>
      <c r="C16" s="288">
        <f>'6-CIT_CN'!C16</f>
        <v>0</v>
      </c>
      <c r="D16" s="29"/>
      <c r="E16" s="184" t="s">
        <v>479</v>
      </c>
      <c r="F16" s="185" t="s">
        <v>463</v>
      </c>
      <c r="G16" s="186" t="s">
        <v>480</v>
      </c>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row>
    <row r="17" spans="1:256" customFormat="1" ht="33" customHeight="1">
      <c r="A17" s="154" t="s">
        <v>531</v>
      </c>
      <c r="B17" s="155"/>
      <c r="C17" s="289">
        <f>C15+C16</f>
        <v>0</v>
      </c>
      <c r="D17" s="29"/>
      <c r="E17" s="184" t="s">
        <v>481</v>
      </c>
      <c r="F17" s="185"/>
      <c r="G17" s="186" t="s">
        <v>482</v>
      </c>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row>
    <row r="18" spans="1:256" customFormat="1" ht="28.15" customHeight="1">
      <c r="A18" s="106"/>
      <c r="B18" s="106"/>
      <c r="C18" s="107"/>
      <c r="D18" s="29"/>
      <c r="E18" s="184" t="s">
        <v>483</v>
      </c>
      <c r="F18" s="185"/>
      <c r="G18" s="186" t="s">
        <v>484</v>
      </c>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row>
    <row r="19" spans="1:256" customFormat="1" ht="28.15" customHeight="1">
      <c r="A19" s="105" t="s">
        <v>232</v>
      </c>
      <c r="B19" s="106"/>
      <c r="C19" s="107"/>
      <c r="D19" s="29"/>
      <c r="E19" s="187" t="s">
        <v>485</v>
      </c>
      <c r="F19" s="185" t="s">
        <v>463</v>
      </c>
      <c r="G19" s="186" t="s">
        <v>500</v>
      </c>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row>
    <row r="20" spans="1:256" ht="39.75" customHeight="1">
      <c r="C20" s="60"/>
      <c r="E20" s="184" t="s">
        <v>486</v>
      </c>
      <c r="F20" s="185" t="s">
        <v>475</v>
      </c>
      <c r="G20" s="186" t="s">
        <v>487</v>
      </c>
    </row>
    <row r="21" spans="1:256" ht="33.65" customHeight="1">
      <c r="C21" s="246">
        <f>C17-'6-CIT_CN'!C17</f>
        <v>0</v>
      </c>
      <c r="E21" s="188" t="s">
        <v>488</v>
      </c>
      <c r="F21" s="185" t="s">
        <v>475</v>
      </c>
      <c r="G21" s="186" t="s">
        <v>489</v>
      </c>
    </row>
    <row r="22" spans="1:256" ht="42">
      <c r="E22" s="188" t="s">
        <v>490</v>
      </c>
      <c r="F22" s="185" t="s">
        <v>463</v>
      </c>
      <c r="G22" s="186" t="s">
        <v>491</v>
      </c>
    </row>
    <row r="23" spans="1:256" ht="42">
      <c r="C23" s="60"/>
      <c r="E23" s="188" t="s">
        <v>492</v>
      </c>
      <c r="F23" s="185" t="s">
        <v>475</v>
      </c>
      <c r="G23" s="186" t="s">
        <v>493</v>
      </c>
    </row>
    <row r="24" spans="1:256" ht="42">
      <c r="C24" s="60"/>
      <c r="E24" s="188" t="s">
        <v>494</v>
      </c>
      <c r="F24" s="185" t="s">
        <v>463</v>
      </c>
      <c r="G24" s="186" t="s">
        <v>495</v>
      </c>
    </row>
    <row r="25" spans="1:256" ht="28">
      <c r="C25" s="60"/>
      <c r="E25" s="184" t="s">
        <v>496</v>
      </c>
      <c r="F25" s="185" t="s">
        <v>475</v>
      </c>
      <c r="G25" s="186" t="s">
        <v>497</v>
      </c>
    </row>
    <row r="26" spans="1:256" ht="70">
      <c r="C26" s="60"/>
      <c r="E26" s="184" t="s">
        <v>498</v>
      </c>
      <c r="F26" s="185" t="s">
        <v>475</v>
      </c>
      <c r="G26" s="186" t="s">
        <v>499</v>
      </c>
    </row>
    <row r="27" spans="1:256">
      <c r="C27" s="60"/>
    </row>
    <row r="28" spans="1:256">
      <c r="C28" s="60"/>
    </row>
    <row r="29" spans="1:256">
      <c r="C29" s="60"/>
    </row>
    <row r="30" spans="1:256">
      <c r="C30" s="60"/>
    </row>
    <row r="31" spans="1:256">
      <c r="C31" s="60"/>
    </row>
    <row r="32" spans="1:256" ht="33" customHeight="1">
      <c r="A32" s="62"/>
      <c r="C32" s="60"/>
    </row>
    <row r="33" spans="3:3">
      <c r="C33" s="60"/>
    </row>
    <row r="34" spans="3:3">
      <c r="C34" s="60"/>
    </row>
    <row r="35" spans="3:3">
      <c r="C35" s="60"/>
    </row>
    <row r="36" spans="3:3">
      <c r="C36" s="60"/>
    </row>
    <row r="37" spans="3:3">
      <c r="C37" s="60"/>
    </row>
    <row r="38" spans="3:3">
      <c r="C38" s="60"/>
    </row>
    <row r="39" spans="3:3">
      <c r="C39" s="60"/>
    </row>
    <row r="40" spans="3:3">
      <c r="C40" s="60"/>
    </row>
    <row r="41" spans="3:3">
      <c r="C41" s="60"/>
    </row>
    <row r="42" spans="3:3">
      <c r="C42" s="60"/>
    </row>
    <row r="43" spans="3:3">
      <c r="C43" s="60"/>
    </row>
    <row r="44" spans="3:3">
      <c r="C44" s="60"/>
    </row>
    <row r="45" spans="3:3">
      <c r="C45" s="60"/>
    </row>
  </sheetData>
  <mergeCells count="3">
    <mergeCell ref="A1:C1"/>
    <mergeCell ref="A3:C3"/>
    <mergeCell ref="A2:C2"/>
  </mergeCells>
  <phoneticPr fontId="14" type="noConversion"/>
  <printOptions horizontalCentered="1"/>
  <pageMargins left="0.98425196850393704" right="0.78740157480314965" top="0.78740157480314965" bottom="0.78740157480314965" header="0.70866141732283472" footer="0.51181102362204722"/>
  <pageSetup paperSize="9" scale="95" orientation="portrait" blackAndWhite="1"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pageSetUpPr fitToPage="1"/>
  </sheetPr>
  <dimension ref="A1:I35"/>
  <sheetViews>
    <sheetView tabSelected="1" view="pageBreakPreview" zoomScale="70" zoomScaleNormal="70" zoomScaleSheetLayoutView="70" workbookViewId="0">
      <selection activeCell="A15" sqref="A15"/>
    </sheetView>
  </sheetViews>
  <sheetFormatPr defaultColWidth="8.58203125" defaultRowHeight="15.5"/>
  <cols>
    <col min="1" max="1" width="40.25" style="55" customWidth="1"/>
    <col min="2" max="3" width="20" style="57" customWidth="1"/>
    <col min="4" max="4" width="46" style="55" customWidth="1"/>
    <col min="5" max="6" width="20.5" style="57" customWidth="1"/>
    <col min="7" max="8" width="9" style="56" customWidth="1"/>
    <col min="9" max="9" width="13.25" style="56" customWidth="1"/>
    <col min="10" max="10" width="11.58203125" style="56" customWidth="1"/>
    <col min="11" max="30" width="9" style="56" bestFit="1" customWidth="1"/>
    <col min="31" max="16384" width="8.58203125" style="56"/>
  </cols>
  <sheetData>
    <row r="1" spans="1:6" ht="33.75" customHeight="1">
      <c r="A1" s="449" t="str">
        <f>Basic!B1</f>
        <v>***公司</v>
      </c>
      <c r="B1" s="449"/>
      <c r="C1" s="449"/>
      <c r="D1" s="449"/>
      <c r="E1" s="449"/>
      <c r="F1" s="449"/>
    </row>
    <row r="2" spans="1:6" ht="33.75" customHeight="1">
      <c r="A2" s="449" t="s">
        <v>235</v>
      </c>
      <c r="B2" s="449"/>
      <c r="C2" s="449"/>
      <c r="D2" s="449"/>
      <c r="E2" s="449"/>
      <c r="F2" s="449"/>
    </row>
    <row r="3" spans="1:6" s="58" customFormat="1" ht="24.75" customHeight="1">
      <c r="A3" s="450">
        <v>44926</v>
      </c>
      <c r="B3" s="450"/>
      <c r="C3" s="450"/>
      <c r="D3" s="450"/>
      <c r="E3" s="450"/>
      <c r="F3" s="450"/>
    </row>
    <row r="4" spans="1:6" s="58" customFormat="1" ht="28.15" customHeight="1" thickBot="1">
      <c r="A4" s="87"/>
      <c r="B4" s="88"/>
      <c r="C4" s="89"/>
      <c r="D4" s="90"/>
      <c r="E4" s="88"/>
      <c r="F4" s="91" t="s">
        <v>407</v>
      </c>
    </row>
    <row r="5" spans="1:6" s="55" customFormat="1" ht="42.75" customHeight="1">
      <c r="A5" s="114" t="s">
        <v>408</v>
      </c>
      <c r="B5" s="115" t="s">
        <v>409</v>
      </c>
      <c r="C5" s="115" t="s">
        <v>410</v>
      </c>
      <c r="D5" s="116" t="s">
        <v>411</v>
      </c>
      <c r="E5" s="115" t="str">
        <f>B5</f>
        <v>年末余额</v>
      </c>
      <c r="F5" s="117" t="str">
        <f>C5</f>
        <v>年初余额</v>
      </c>
    </row>
    <row r="6" spans="1:6" ht="42.75" customHeight="1">
      <c r="A6" s="118" t="s">
        <v>359</v>
      </c>
      <c r="B6" s="119" t="s">
        <v>4</v>
      </c>
      <c r="C6" s="119" t="s">
        <v>4</v>
      </c>
      <c r="D6" s="120" t="s">
        <v>360</v>
      </c>
      <c r="E6" s="119" t="s">
        <v>4</v>
      </c>
      <c r="F6" s="181" t="s">
        <v>4</v>
      </c>
    </row>
    <row r="7" spans="1:6" ht="42.75" customHeight="1">
      <c r="A7" s="121" t="s">
        <v>361</v>
      </c>
      <c r="B7" s="110"/>
      <c r="C7" s="110"/>
      <c r="D7" s="122" t="s">
        <v>25</v>
      </c>
      <c r="E7" s="170"/>
      <c r="F7" s="172"/>
    </row>
    <row r="8" spans="1:6" ht="42.75" customHeight="1">
      <c r="A8" s="123" t="s">
        <v>362</v>
      </c>
      <c r="B8" s="170"/>
      <c r="C8" s="110"/>
      <c r="D8" s="122" t="s">
        <v>363</v>
      </c>
      <c r="E8" s="170"/>
      <c r="F8" s="172"/>
    </row>
    <row r="9" spans="1:6" ht="42.75" customHeight="1">
      <c r="A9" s="123" t="s">
        <v>364</v>
      </c>
      <c r="B9" s="110"/>
      <c r="C9" s="110"/>
      <c r="D9" s="122" t="s">
        <v>365</v>
      </c>
      <c r="E9" s="170"/>
      <c r="F9" s="172"/>
    </row>
    <row r="10" spans="1:6" ht="42.75" customHeight="1">
      <c r="A10" s="123" t="s">
        <v>366</v>
      </c>
      <c r="B10" s="110"/>
      <c r="C10" s="110"/>
      <c r="D10" s="122" t="s">
        <v>579</v>
      </c>
      <c r="E10" s="170"/>
      <c r="F10" s="172"/>
    </row>
    <row r="11" spans="1:6" ht="42.75" customHeight="1">
      <c r="A11" s="123" t="s">
        <v>367</v>
      </c>
      <c r="B11" s="110"/>
      <c r="C11" s="110"/>
      <c r="D11" s="122" t="s">
        <v>368</v>
      </c>
      <c r="E11" s="170"/>
      <c r="F11" s="172"/>
    </row>
    <row r="12" spans="1:6" ht="42.75" customHeight="1">
      <c r="A12" s="123" t="s">
        <v>369</v>
      </c>
      <c r="B12" s="110"/>
      <c r="C12" s="110"/>
      <c r="D12" s="124" t="s">
        <v>370</v>
      </c>
      <c r="E12" s="170"/>
      <c r="F12" s="172"/>
    </row>
    <row r="13" spans="1:6" ht="42.75" customHeight="1">
      <c r="A13" s="123" t="s">
        <v>371</v>
      </c>
      <c r="B13" s="110"/>
      <c r="C13" s="110"/>
      <c r="D13" s="122" t="s">
        <v>372</v>
      </c>
      <c r="E13" s="170"/>
      <c r="F13" s="172"/>
    </row>
    <row r="14" spans="1:6" ht="42.75" customHeight="1">
      <c r="A14" s="123" t="s">
        <v>373</v>
      </c>
      <c r="B14" s="110"/>
      <c r="C14" s="110"/>
      <c r="D14" s="122" t="s">
        <v>374</v>
      </c>
      <c r="E14" s="170"/>
      <c r="F14" s="172"/>
    </row>
    <row r="15" spans="1:6" ht="42.75" customHeight="1">
      <c r="A15" s="123" t="s">
        <v>375</v>
      </c>
      <c r="B15" s="170"/>
      <c r="C15" s="110"/>
      <c r="D15" s="122" t="s">
        <v>376</v>
      </c>
      <c r="E15" s="170"/>
      <c r="F15" s="172"/>
    </row>
    <row r="16" spans="1:6" ht="42.75" customHeight="1">
      <c r="A16" s="123" t="s">
        <v>377</v>
      </c>
      <c r="B16" s="110"/>
      <c r="C16" s="110"/>
      <c r="D16" s="125" t="s">
        <v>378</v>
      </c>
      <c r="E16" s="170"/>
      <c r="F16" s="172"/>
    </row>
    <row r="17" spans="1:9" ht="42.75" customHeight="1">
      <c r="A17" s="275" t="s">
        <v>379</v>
      </c>
      <c r="B17" s="270">
        <f>SUM(B7:B16)</f>
        <v>0</v>
      </c>
      <c r="C17" s="270">
        <f>SUM(C7:C16)</f>
        <v>0</v>
      </c>
      <c r="D17" s="276" t="s">
        <v>380</v>
      </c>
      <c r="E17" s="284">
        <f>SUM(E7:E16)</f>
        <v>0</v>
      </c>
      <c r="F17" s="285">
        <f>SUM(F7:F16)</f>
        <v>0</v>
      </c>
    </row>
    <row r="18" spans="1:9" ht="42.75" customHeight="1">
      <c r="A18" s="118" t="s">
        <v>381</v>
      </c>
      <c r="B18" s="171" t="s">
        <v>4</v>
      </c>
      <c r="C18" s="171" t="s">
        <v>4</v>
      </c>
      <c r="D18" s="120" t="s">
        <v>382</v>
      </c>
      <c r="E18" s="171" t="s">
        <v>4</v>
      </c>
      <c r="F18" s="180" t="s">
        <v>4</v>
      </c>
    </row>
    <row r="19" spans="1:9" ht="42.75" customHeight="1">
      <c r="A19" s="123" t="s">
        <v>383</v>
      </c>
      <c r="B19" s="110"/>
      <c r="C19" s="110"/>
      <c r="D19" s="122" t="s">
        <v>26</v>
      </c>
      <c r="E19" s="171"/>
      <c r="F19" s="183"/>
    </row>
    <row r="20" spans="1:9" ht="42.75" customHeight="1">
      <c r="A20" s="123" t="s">
        <v>384</v>
      </c>
      <c r="B20" s="110"/>
      <c r="C20" s="110"/>
      <c r="D20" s="125" t="s">
        <v>385</v>
      </c>
      <c r="E20" s="170"/>
      <c r="F20" s="172"/>
    </row>
    <row r="21" spans="1:9" ht="42.75" customHeight="1">
      <c r="A21" s="123" t="s">
        <v>386</v>
      </c>
      <c r="B21" s="110"/>
      <c r="C21" s="110"/>
      <c r="D21" s="125" t="s">
        <v>387</v>
      </c>
      <c r="E21" s="170"/>
      <c r="F21" s="172"/>
    </row>
    <row r="22" spans="1:9" ht="42.75" customHeight="1">
      <c r="A22" s="123" t="s">
        <v>388</v>
      </c>
      <c r="B22" s="110"/>
      <c r="C22" s="110"/>
      <c r="D22" s="125" t="s">
        <v>389</v>
      </c>
      <c r="E22" s="170"/>
      <c r="F22" s="172"/>
    </row>
    <row r="23" spans="1:9" ht="42.75" customHeight="1">
      <c r="A23" s="123" t="s">
        <v>390</v>
      </c>
      <c r="B23" s="110"/>
      <c r="C23" s="110"/>
      <c r="D23" s="276" t="s">
        <v>391</v>
      </c>
      <c r="E23" s="284">
        <f>SUM(E19:E22)</f>
        <v>0</v>
      </c>
      <c r="F23" s="285">
        <f>SUM(F19:F22)</f>
        <v>0</v>
      </c>
    </row>
    <row r="24" spans="1:9" ht="42.75" customHeight="1">
      <c r="A24" s="123" t="s">
        <v>392</v>
      </c>
      <c r="B24" s="110"/>
      <c r="C24" s="110"/>
      <c r="D24" s="277" t="s">
        <v>393</v>
      </c>
      <c r="E24" s="284">
        <f>E17+E23</f>
        <v>0</v>
      </c>
      <c r="F24" s="285">
        <f>F17+F23</f>
        <v>0</v>
      </c>
    </row>
    <row r="25" spans="1:9" ht="42.75" customHeight="1">
      <c r="A25" s="123" t="s">
        <v>601</v>
      </c>
      <c r="B25" s="110"/>
      <c r="C25" s="110"/>
      <c r="D25" s="120" t="s">
        <v>394</v>
      </c>
      <c r="E25" s="171" t="s">
        <v>4</v>
      </c>
      <c r="F25" s="180" t="s">
        <v>4</v>
      </c>
    </row>
    <row r="26" spans="1:9" ht="42.75" customHeight="1">
      <c r="A26" s="123" t="s">
        <v>395</v>
      </c>
      <c r="B26" s="110"/>
      <c r="C26" s="110"/>
      <c r="D26" s="125" t="s">
        <v>396</v>
      </c>
      <c r="E26" s="170"/>
      <c r="F26" s="172"/>
    </row>
    <row r="27" spans="1:9" ht="42.75" customHeight="1">
      <c r="A27" s="123" t="s">
        <v>397</v>
      </c>
      <c r="B27" s="110"/>
      <c r="C27" s="110"/>
      <c r="D27" s="125" t="s">
        <v>398</v>
      </c>
      <c r="E27" s="170"/>
      <c r="F27" s="172"/>
    </row>
    <row r="28" spans="1:9" ht="42.75" customHeight="1">
      <c r="A28" s="123" t="s">
        <v>399</v>
      </c>
      <c r="B28" s="110"/>
      <c r="C28" s="110"/>
      <c r="D28" s="124" t="s">
        <v>400</v>
      </c>
      <c r="E28" s="170"/>
      <c r="F28" s="172"/>
    </row>
    <row r="29" spans="1:9" ht="42.75" customHeight="1">
      <c r="A29" s="123" t="s">
        <v>401</v>
      </c>
      <c r="B29" s="110"/>
      <c r="C29" s="110"/>
      <c r="D29" s="125" t="s">
        <v>402</v>
      </c>
      <c r="E29" s="170"/>
      <c r="F29" s="172"/>
    </row>
    <row r="30" spans="1:9" ht="42.75" customHeight="1">
      <c r="A30" s="278" t="s">
        <v>403</v>
      </c>
      <c r="B30" s="270">
        <f>SUM(B19:B29)</f>
        <v>0</v>
      </c>
      <c r="C30" s="270">
        <f>SUM(C19:C29)</f>
        <v>0</v>
      </c>
      <c r="D30" s="279" t="s">
        <v>404</v>
      </c>
      <c r="E30" s="270">
        <f>SUM(E26:E29)</f>
        <v>0</v>
      </c>
      <c r="F30" s="312">
        <f>SUM(F26:F29)</f>
        <v>0</v>
      </c>
    </row>
    <row r="31" spans="1:9" ht="42.75" customHeight="1" thickBot="1">
      <c r="A31" s="280" t="s">
        <v>405</v>
      </c>
      <c r="B31" s="281">
        <f>B17+B30</f>
        <v>0</v>
      </c>
      <c r="C31" s="281">
        <f>C17+C30</f>
        <v>0</v>
      </c>
      <c r="D31" s="282" t="s">
        <v>33</v>
      </c>
      <c r="E31" s="281">
        <f>E24+E30</f>
        <v>0</v>
      </c>
      <c r="F31" s="283">
        <f>F24+F30</f>
        <v>0</v>
      </c>
      <c r="I31" s="57"/>
    </row>
    <row r="32" spans="1:9" s="55" customFormat="1" ht="42.75" customHeight="1">
      <c r="A32" s="85" t="s">
        <v>34</v>
      </c>
      <c r="B32" s="92"/>
      <c r="C32" s="92"/>
      <c r="D32" s="92" t="s">
        <v>35</v>
      </c>
      <c r="E32" s="86"/>
      <c r="F32" s="86"/>
    </row>
    <row r="33" spans="2:6">
      <c r="B33" s="59"/>
      <c r="C33" s="59"/>
      <c r="E33" s="59"/>
      <c r="F33" s="59"/>
    </row>
    <row r="34" spans="2:6" ht="18">
      <c r="D34" s="173" t="s">
        <v>406</v>
      </c>
      <c r="E34" s="173">
        <f>E31-B31</f>
        <v>0</v>
      </c>
      <c r="F34" s="173">
        <f>F31-C31</f>
        <v>0</v>
      </c>
    </row>
    <row r="35" spans="2:6" ht="18">
      <c r="D35" s="174"/>
      <c r="E35" s="173"/>
      <c r="F35" s="173"/>
    </row>
  </sheetData>
  <mergeCells count="3">
    <mergeCell ref="A1:F1"/>
    <mergeCell ref="A3:F3"/>
    <mergeCell ref="A2:F2"/>
  </mergeCells>
  <phoneticPr fontId="14" type="noConversion"/>
  <printOptions horizontalCentered="1"/>
  <pageMargins left="0.98425196850393704" right="0.78740157480314965" top="0.78740157480314965" bottom="0.74803149606299213" header="0.70866141732283472" footer="0.31496062992125984"/>
  <pageSetup paperSize="9" scale="46" orientation="portrait" blackAndWhite="1"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pageSetUpPr fitToPage="1"/>
  </sheetPr>
  <dimension ref="A1:F43"/>
  <sheetViews>
    <sheetView view="pageBreakPreview" zoomScale="70" zoomScaleNormal="70" zoomScaleSheetLayoutView="70" workbookViewId="0">
      <selection activeCell="C6" sqref="C6"/>
    </sheetView>
  </sheetViews>
  <sheetFormatPr defaultColWidth="8.58203125" defaultRowHeight="15.65" customHeight="1"/>
  <cols>
    <col min="1" max="1" width="34.08203125" style="69" customWidth="1"/>
    <col min="2" max="3" width="16.58203125" style="69" customWidth="1"/>
    <col min="4" max="4" width="40" style="69" customWidth="1"/>
    <col min="5" max="6" width="16.5" style="69" customWidth="1"/>
    <col min="7" max="14" width="9" style="69" customWidth="1"/>
    <col min="15" max="30" width="9" style="69" bestFit="1" customWidth="1"/>
    <col min="31" max="16384" width="8.58203125" style="69"/>
  </cols>
  <sheetData>
    <row r="1" spans="1:6" ht="40.5" customHeight="1">
      <c r="A1" s="451" t="str">
        <f>Basic!C1</f>
        <v>*****</v>
      </c>
      <c r="B1" s="451"/>
      <c r="C1" s="451"/>
      <c r="D1" s="451"/>
      <c r="E1" s="451"/>
      <c r="F1" s="451"/>
    </row>
    <row r="2" spans="1:6" ht="40.5" customHeight="1">
      <c r="A2" s="451" t="s">
        <v>599</v>
      </c>
      <c r="B2" s="451"/>
      <c r="C2" s="451"/>
      <c r="D2" s="451"/>
      <c r="E2" s="451"/>
      <c r="F2" s="451"/>
    </row>
    <row r="3" spans="1:6" s="66" customFormat="1" ht="21.75" customHeight="1">
      <c r="A3" s="452" t="s">
        <v>691</v>
      </c>
      <c r="B3" s="453"/>
      <c r="C3" s="453"/>
      <c r="D3" s="453"/>
      <c r="E3" s="453"/>
      <c r="F3" s="453"/>
    </row>
    <row r="4" spans="1:6" s="157" customFormat="1" ht="39" customHeight="1" thickBot="1">
      <c r="A4" s="454"/>
      <c r="B4" s="454"/>
      <c r="C4" s="455"/>
      <c r="D4" s="455"/>
      <c r="E4" s="156"/>
      <c r="F4" s="156" t="s">
        <v>421</v>
      </c>
    </row>
    <row r="5" spans="1:6" s="84" customFormat="1" ht="28.15" customHeight="1">
      <c r="A5" s="366" t="s">
        <v>422</v>
      </c>
      <c r="B5" s="367">
        <v>44926</v>
      </c>
      <c r="C5" s="367">
        <v>44561</v>
      </c>
      <c r="D5" s="368" t="s">
        <v>423</v>
      </c>
      <c r="E5" s="367">
        <f>B5</f>
        <v>44926</v>
      </c>
      <c r="F5" s="369">
        <f>C5</f>
        <v>44561</v>
      </c>
    </row>
    <row r="6" spans="1:6" s="72" customFormat="1" ht="32.25" customHeight="1">
      <c r="A6" s="370" t="s">
        <v>574</v>
      </c>
      <c r="B6" s="371" t="s">
        <v>4</v>
      </c>
      <c r="C6" s="371" t="s">
        <v>4</v>
      </c>
      <c r="D6" s="372" t="s">
        <v>575</v>
      </c>
      <c r="E6" s="371" t="s">
        <v>4</v>
      </c>
      <c r="F6" s="373" t="s">
        <v>4</v>
      </c>
    </row>
    <row r="7" spans="1:6" s="72" customFormat="1" ht="32.25" customHeight="1">
      <c r="A7" s="374" t="s">
        <v>424</v>
      </c>
      <c r="B7" s="375">
        <f>'1-BS(SmallBuz)-CN'!B7</f>
        <v>0</v>
      </c>
      <c r="C7" s="375">
        <f>'1-BS(SmallBuz)-CN'!C7</f>
        <v>0</v>
      </c>
      <c r="D7" s="376" t="s">
        <v>425</v>
      </c>
      <c r="E7" s="375">
        <f>'1-BS(SmallBuz)-CN'!E7</f>
        <v>0</v>
      </c>
      <c r="F7" s="377">
        <f>'1-BS(SmallBuz)-CN'!F7</f>
        <v>0</v>
      </c>
    </row>
    <row r="8" spans="1:6" s="72" customFormat="1" ht="32.25" customHeight="1">
      <c r="A8" s="374" t="s">
        <v>426</v>
      </c>
      <c r="B8" s="375">
        <f>'1-BS(SmallBuz)-CN'!B8</f>
        <v>0</v>
      </c>
      <c r="C8" s="375">
        <f>'1-BS(SmallBuz)-CN'!C8</f>
        <v>0</v>
      </c>
      <c r="D8" s="376" t="s">
        <v>427</v>
      </c>
      <c r="E8" s="375">
        <f>'1-BS(SmallBuz)-CN'!E8</f>
        <v>0</v>
      </c>
      <c r="F8" s="377">
        <f>'1-BS(SmallBuz)-CN'!F8</f>
        <v>0</v>
      </c>
    </row>
    <row r="9" spans="1:6" s="72" customFormat="1" ht="32.25" customHeight="1">
      <c r="A9" s="374" t="s">
        <v>428</v>
      </c>
      <c r="B9" s="375">
        <f>'1-BS(SmallBuz)-CN'!B9</f>
        <v>0</v>
      </c>
      <c r="C9" s="375">
        <f>'1-BS(SmallBuz)-CN'!C9</f>
        <v>0</v>
      </c>
      <c r="D9" s="376" t="s">
        <v>429</v>
      </c>
      <c r="E9" s="375">
        <f>'1-BS(SmallBuz)-CN'!E9</f>
        <v>0</v>
      </c>
      <c r="F9" s="377">
        <f>'1-BS(SmallBuz)-CN'!F9</f>
        <v>0</v>
      </c>
    </row>
    <row r="10" spans="1:6" s="72" customFormat="1" ht="32.25" customHeight="1">
      <c r="A10" s="374" t="s">
        <v>430</v>
      </c>
      <c r="B10" s="375">
        <f>'1-BS(SmallBuz)-CN'!B10</f>
        <v>0</v>
      </c>
      <c r="C10" s="375">
        <f>'1-BS(SmallBuz)-CN'!C10</f>
        <v>0</v>
      </c>
      <c r="D10" s="423" t="s">
        <v>679</v>
      </c>
      <c r="E10" s="375">
        <f>'1-BS(SmallBuz)-CN'!E10</f>
        <v>0</v>
      </c>
      <c r="F10" s="377">
        <f>'1-BS(SmallBuz)-CN'!F10</f>
        <v>0</v>
      </c>
    </row>
    <row r="11" spans="1:6" s="72" customFormat="1" ht="32.25" customHeight="1">
      <c r="A11" s="424" t="s">
        <v>678</v>
      </c>
      <c r="B11" s="375">
        <f>'1-BS(SmallBuz)-CN'!B11</f>
        <v>0</v>
      </c>
      <c r="C11" s="375">
        <f>'1-BS(SmallBuz)-CN'!C11</f>
        <v>0</v>
      </c>
      <c r="D11" s="376" t="s">
        <v>5</v>
      </c>
      <c r="E11" s="375">
        <f>'1-BS(SmallBuz)-CN'!E11</f>
        <v>0</v>
      </c>
      <c r="F11" s="377">
        <f>'1-BS(SmallBuz)-CN'!F11</f>
        <v>0</v>
      </c>
    </row>
    <row r="12" spans="1:6" s="72" customFormat="1" ht="32.25" customHeight="1">
      <c r="A12" s="378" t="s">
        <v>431</v>
      </c>
      <c r="B12" s="375">
        <f>'1-BS(SmallBuz)-CN'!B12</f>
        <v>0</v>
      </c>
      <c r="C12" s="375">
        <f>'1-BS(SmallBuz)-CN'!C12</f>
        <v>0</v>
      </c>
      <c r="D12" s="376" t="s">
        <v>432</v>
      </c>
      <c r="E12" s="375">
        <f>'1-BS(SmallBuz)-CN'!E12</f>
        <v>0</v>
      </c>
      <c r="F12" s="377">
        <f>'1-BS(SmallBuz)-CN'!F12</f>
        <v>0</v>
      </c>
    </row>
    <row r="13" spans="1:6" s="72" customFormat="1" ht="32.25" customHeight="1">
      <c r="A13" s="378" t="s">
        <v>433</v>
      </c>
      <c r="B13" s="375">
        <f>'1-BS(SmallBuz)-CN'!B13</f>
        <v>0</v>
      </c>
      <c r="C13" s="375">
        <f>'1-BS(SmallBuz)-CN'!C13</f>
        <v>0</v>
      </c>
      <c r="D13" s="376" t="s">
        <v>434</v>
      </c>
      <c r="E13" s="375">
        <f>'1-BS(SmallBuz)-CN'!E13</f>
        <v>0</v>
      </c>
      <c r="F13" s="377">
        <f>'1-BS(SmallBuz)-CN'!F13</f>
        <v>0</v>
      </c>
    </row>
    <row r="14" spans="1:6" s="72" customFormat="1" ht="32.25" customHeight="1">
      <c r="A14" s="374" t="s">
        <v>435</v>
      </c>
      <c r="B14" s="375">
        <f>'1-BS(SmallBuz)-CN'!B14</f>
        <v>0</v>
      </c>
      <c r="C14" s="375">
        <f>'1-BS(SmallBuz)-CN'!C14</f>
        <v>0</v>
      </c>
      <c r="D14" s="376" t="s">
        <v>436</v>
      </c>
      <c r="E14" s="375">
        <f>'1-BS(SmallBuz)-CN'!E14</f>
        <v>0</v>
      </c>
      <c r="F14" s="377">
        <f>'1-BS(SmallBuz)-CN'!F14</f>
        <v>0</v>
      </c>
    </row>
    <row r="15" spans="1:6" s="72" customFormat="1" ht="32.25" customHeight="1">
      <c r="A15" s="374" t="s">
        <v>437</v>
      </c>
      <c r="B15" s="375">
        <f>'1-BS(SmallBuz)-CN'!B15</f>
        <v>0</v>
      </c>
      <c r="C15" s="375">
        <f>'1-BS(SmallBuz)-CN'!C15</f>
        <v>0</v>
      </c>
      <c r="D15" s="376" t="s">
        <v>438</v>
      </c>
      <c r="E15" s="375">
        <f>'1-BS(SmallBuz)-CN'!E15</f>
        <v>0</v>
      </c>
      <c r="F15" s="377">
        <f>'1-BS(SmallBuz)-CN'!F15</f>
        <v>0</v>
      </c>
    </row>
    <row r="16" spans="1:6" s="72" customFormat="1" ht="32.25" customHeight="1">
      <c r="A16" s="374" t="s">
        <v>6</v>
      </c>
      <c r="B16" s="375">
        <f>'1-BS(SmallBuz)-CN'!B16</f>
        <v>0</v>
      </c>
      <c r="C16" s="375">
        <f>'1-BS(SmallBuz)-CN'!C16</f>
        <v>0</v>
      </c>
      <c r="D16" s="376" t="s">
        <v>8</v>
      </c>
      <c r="E16" s="375">
        <f>'1-BS(SmallBuz)-CN'!E16</f>
        <v>0</v>
      </c>
      <c r="F16" s="377">
        <f>'1-BS(SmallBuz)-CN'!F16</f>
        <v>0</v>
      </c>
    </row>
    <row r="17" spans="1:6" s="72" customFormat="1" ht="32.25" customHeight="1">
      <c r="A17" s="379" t="s">
        <v>439</v>
      </c>
      <c r="B17" s="345">
        <f>SUM(B7:B16)</f>
        <v>0</v>
      </c>
      <c r="C17" s="345">
        <f>SUM(C7:C16)</f>
        <v>0</v>
      </c>
      <c r="D17" s="380" t="s">
        <v>440</v>
      </c>
      <c r="E17" s="345">
        <f>SUM(E7:E16)</f>
        <v>0</v>
      </c>
      <c r="F17" s="346">
        <f>SUM(F7:F16)</f>
        <v>0</v>
      </c>
    </row>
    <row r="18" spans="1:6" s="72" customFormat="1" ht="32.25" customHeight="1">
      <c r="A18" s="381" t="s">
        <v>576</v>
      </c>
      <c r="B18" s="371" t="s">
        <v>4</v>
      </c>
      <c r="C18" s="371" t="s">
        <v>4</v>
      </c>
      <c r="D18" s="382" t="s">
        <v>577</v>
      </c>
      <c r="E18" s="371" t="s">
        <v>4</v>
      </c>
      <c r="F18" s="373" t="s">
        <v>4</v>
      </c>
    </row>
    <row r="19" spans="1:6" s="72" customFormat="1" ht="32.25" customHeight="1">
      <c r="A19" s="374" t="s">
        <v>441</v>
      </c>
      <c r="B19" s="375">
        <f>'1-BS(SmallBuz)-CN'!B19</f>
        <v>0</v>
      </c>
      <c r="C19" s="375">
        <f>'1-BS(SmallBuz)-CN'!C19</f>
        <v>0</v>
      </c>
      <c r="D19" s="376" t="s">
        <v>9</v>
      </c>
      <c r="E19" s="375">
        <f>'1-BS(SmallBuz)-CN'!E19</f>
        <v>0</v>
      </c>
      <c r="F19" s="377">
        <f>'1-BS(SmallBuz)-CN'!F19</f>
        <v>0</v>
      </c>
    </row>
    <row r="20" spans="1:6" s="72" customFormat="1" ht="32.25" customHeight="1">
      <c r="A20" s="374" t="s">
        <v>442</v>
      </c>
      <c r="B20" s="375">
        <f>'1-BS(SmallBuz)-CN'!B20</f>
        <v>0</v>
      </c>
      <c r="C20" s="375">
        <f>'1-BS(SmallBuz)-CN'!C20</f>
        <v>0</v>
      </c>
      <c r="D20" s="376" t="s">
        <v>10</v>
      </c>
      <c r="E20" s="375">
        <f>'1-BS(SmallBuz)-CN'!E20</f>
        <v>0</v>
      </c>
      <c r="F20" s="377">
        <f>'1-BS(SmallBuz)-CN'!F20</f>
        <v>0</v>
      </c>
    </row>
    <row r="21" spans="1:6" s="72" customFormat="1" ht="32.25" customHeight="1">
      <c r="A21" s="374" t="s">
        <v>443</v>
      </c>
      <c r="B21" s="375">
        <f>'1-BS(SmallBuz)-CN'!B21</f>
        <v>0</v>
      </c>
      <c r="C21" s="375">
        <f>'1-BS(SmallBuz)-CN'!C21</f>
        <v>0</v>
      </c>
      <c r="D21" s="376" t="s">
        <v>444</v>
      </c>
      <c r="E21" s="375">
        <f>'1-BS(SmallBuz)-CN'!E21</f>
        <v>0</v>
      </c>
      <c r="F21" s="377">
        <f>'1-BS(SmallBuz)-CN'!F21</f>
        <v>0</v>
      </c>
    </row>
    <row r="22" spans="1:6" s="72" customFormat="1" ht="32.25" customHeight="1">
      <c r="A22" s="374" t="s">
        <v>445</v>
      </c>
      <c r="B22" s="375">
        <f>'1-BS(SmallBuz)-CN'!B22</f>
        <v>0</v>
      </c>
      <c r="C22" s="375">
        <f>'1-BS(SmallBuz)-CN'!C22</f>
        <v>0</v>
      </c>
      <c r="D22" s="376" t="s">
        <v>11</v>
      </c>
      <c r="E22" s="375">
        <f>'1-BS(SmallBuz)-CN'!E22</f>
        <v>0</v>
      </c>
      <c r="F22" s="377">
        <f>'1-BS(SmallBuz)-CN'!F22</f>
        <v>0</v>
      </c>
    </row>
    <row r="23" spans="1:6" s="72" customFormat="1" ht="32.25" customHeight="1">
      <c r="A23" s="374" t="s">
        <v>446</v>
      </c>
      <c r="B23" s="375">
        <f>'1-BS(SmallBuz)-CN'!B23</f>
        <v>0</v>
      </c>
      <c r="C23" s="375">
        <f>'1-BS(SmallBuz)-CN'!C23</f>
        <v>0</v>
      </c>
      <c r="D23" s="380" t="s">
        <v>447</v>
      </c>
      <c r="E23" s="345">
        <f>SUM(E19:E22)</f>
        <v>0</v>
      </c>
      <c r="F23" s="346">
        <f>SUM(F19:F22)</f>
        <v>0</v>
      </c>
    </row>
    <row r="24" spans="1:6" s="72" customFormat="1" ht="32.25" customHeight="1">
      <c r="A24" s="383" t="s">
        <v>592</v>
      </c>
      <c r="B24" s="375">
        <f>'1-BS(SmallBuz)-CN'!B24</f>
        <v>0</v>
      </c>
      <c r="C24" s="375">
        <f>'1-BS(SmallBuz)-CN'!C24</f>
        <v>0</v>
      </c>
      <c r="D24" s="384" t="s">
        <v>12</v>
      </c>
      <c r="E24" s="345">
        <f>E17+E23</f>
        <v>0</v>
      </c>
      <c r="F24" s="346">
        <f>F17+F23</f>
        <v>0</v>
      </c>
    </row>
    <row r="25" spans="1:6" s="72" customFormat="1" ht="32.25" customHeight="1">
      <c r="A25" s="374" t="s">
        <v>448</v>
      </c>
      <c r="B25" s="375">
        <f>'1-BS(SmallBuz)-CN'!B25</f>
        <v>0</v>
      </c>
      <c r="C25" s="375">
        <f>'1-BS(SmallBuz)-CN'!C25</f>
        <v>0</v>
      </c>
      <c r="D25" s="382" t="s">
        <v>548</v>
      </c>
      <c r="E25" s="385" t="s">
        <v>4</v>
      </c>
      <c r="F25" s="385" t="s">
        <v>4</v>
      </c>
    </row>
    <row r="26" spans="1:6" s="72" customFormat="1" ht="32.25" customHeight="1">
      <c r="A26" s="378" t="s">
        <v>449</v>
      </c>
      <c r="B26" s="375">
        <f>'1-BS(SmallBuz)-CN'!B26</f>
        <v>0</v>
      </c>
      <c r="C26" s="375">
        <f>'1-BS(SmallBuz)-CN'!C26</f>
        <v>0</v>
      </c>
      <c r="D26" s="376" t="s">
        <v>549</v>
      </c>
      <c r="E26" s="375">
        <f>'1-BS(SmallBuz)-CN'!E26</f>
        <v>0</v>
      </c>
      <c r="F26" s="377">
        <f>'1-BS(SmallBuz)-CN'!F26</f>
        <v>0</v>
      </c>
    </row>
    <row r="27" spans="1:6" s="72" customFormat="1" ht="32.25" customHeight="1">
      <c r="A27" s="374" t="s">
        <v>450</v>
      </c>
      <c r="B27" s="375">
        <f>'1-BS(SmallBuz)-CN'!B27</f>
        <v>0</v>
      </c>
      <c r="C27" s="375">
        <f>'1-BS(SmallBuz)-CN'!C27</f>
        <v>0</v>
      </c>
      <c r="D27" s="376" t="s">
        <v>451</v>
      </c>
      <c r="E27" s="375">
        <f>'1-BS(SmallBuz)-CN'!E27</f>
        <v>0</v>
      </c>
      <c r="F27" s="377">
        <f>'1-BS(SmallBuz)-CN'!F27</f>
        <v>0</v>
      </c>
    </row>
    <row r="28" spans="1:6" s="72" customFormat="1" ht="32.25" customHeight="1">
      <c r="A28" s="378" t="s">
        <v>452</v>
      </c>
      <c r="B28" s="375">
        <f>'1-BS(SmallBuz)-CN'!B28</f>
        <v>0</v>
      </c>
      <c r="C28" s="375">
        <f>'1-BS(SmallBuz)-CN'!C28</f>
        <v>0</v>
      </c>
      <c r="D28" s="376" t="s">
        <v>453</v>
      </c>
      <c r="E28" s="375">
        <f>'1-BS(SmallBuz)-CN'!E28</f>
        <v>0</v>
      </c>
      <c r="F28" s="377">
        <f>'1-BS(SmallBuz)-CN'!F28</f>
        <v>0</v>
      </c>
    </row>
    <row r="29" spans="1:6" s="72" customFormat="1" ht="32.25" customHeight="1">
      <c r="A29" s="378" t="s">
        <v>593</v>
      </c>
      <c r="B29" s="375">
        <f>'1-BS(SmallBuz)-CN'!B29</f>
        <v>0</v>
      </c>
      <c r="C29" s="375">
        <f>'1-BS(SmallBuz)-CN'!C29</f>
        <v>0</v>
      </c>
      <c r="D29" s="386" t="s">
        <v>594</v>
      </c>
      <c r="E29" s="375">
        <f>'1-BS(SmallBuz)-CN'!E29</f>
        <v>0</v>
      </c>
      <c r="F29" s="377">
        <f>'1-BS(SmallBuz)-CN'!F29</f>
        <v>0</v>
      </c>
    </row>
    <row r="30" spans="1:6" s="72" customFormat="1" ht="32.25" customHeight="1">
      <c r="A30" s="381" t="s">
        <v>454</v>
      </c>
      <c r="B30" s="345">
        <f>SUM(B19:B29)</f>
        <v>0</v>
      </c>
      <c r="C30" s="345">
        <f>SUM(C19:C29)</f>
        <v>0</v>
      </c>
      <c r="D30" s="387" t="s">
        <v>595</v>
      </c>
      <c r="E30" s="345">
        <f>SUM(E26:E29)</f>
        <v>0</v>
      </c>
      <c r="F30" s="346">
        <f>SUM(F26:F29)</f>
        <v>0</v>
      </c>
    </row>
    <row r="31" spans="1:6" s="72" customFormat="1" ht="32.25" customHeight="1" thickBot="1">
      <c r="A31" s="388" t="s">
        <v>13</v>
      </c>
      <c r="B31" s="389">
        <f>B17+B30</f>
        <v>0</v>
      </c>
      <c r="C31" s="389">
        <f>C17+C30</f>
        <v>0</v>
      </c>
      <c r="D31" s="390" t="s">
        <v>14</v>
      </c>
      <c r="E31" s="391">
        <f>E24+E30</f>
        <v>0</v>
      </c>
      <c r="F31" s="392">
        <f>F24+F30</f>
        <v>0</v>
      </c>
    </row>
    <row r="32" spans="1:6" s="72" customFormat="1" ht="6" customHeight="1">
      <c r="A32" s="74"/>
      <c r="B32" s="75"/>
      <c r="C32" s="75"/>
      <c r="D32" s="74"/>
    </row>
    <row r="33" spans="1:6" s="72" customFormat="1" ht="32.25" customHeight="1">
      <c r="A33" s="193" t="s">
        <v>547</v>
      </c>
      <c r="B33" s="193"/>
      <c r="C33" s="193"/>
      <c r="D33" s="193" t="s">
        <v>546</v>
      </c>
      <c r="E33" s="193"/>
      <c r="F33" s="193"/>
    </row>
    <row r="34" spans="1:6" s="73" customFormat="1" ht="14">
      <c r="A34" s="76"/>
      <c r="B34" s="69"/>
      <c r="C34" s="69"/>
      <c r="D34" s="69"/>
      <c r="E34" s="77"/>
      <c r="F34" s="71"/>
    </row>
    <row r="35" spans="1:6" s="73" customFormat="1" ht="13">
      <c r="A35" s="69"/>
      <c r="B35" s="69"/>
      <c r="C35" s="69"/>
      <c r="D35" s="69"/>
      <c r="E35" s="69"/>
      <c r="F35" s="69"/>
    </row>
    <row r="36" spans="1:6" ht="28.5" customHeight="1">
      <c r="D36" s="94" t="s">
        <v>455</v>
      </c>
      <c r="E36" s="95">
        <f>B31-E31</f>
        <v>0</v>
      </c>
      <c r="F36" s="95">
        <f>F31-C31</f>
        <v>0</v>
      </c>
    </row>
    <row r="37" spans="1:6" s="299" customFormat="1" ht="25.5" customHeight="1">
      <c r="B37" s="300">
        <f>B31-'1-BS(SmallBuz)-CN'!B31</f>
        <v>0</v>
      </c>
      <c r="C37" s="300">
        <f>C31-'1-BS(SmallBuz)-CN'!C31</f>
        <v>0</v>
      </c>
      <c r="E37" s="300">
        <f>E31-'1-BS(SmallBuz)-CN'!E31</f>
        <v>0</v>
      </c>
      <c r="F37" s="300">
        <f>F31-'1-BS(SmallBuz)-CN'!F31</f>
        <v>0</v>
      </c>
    </row>
    <row r="43" spans="1:6" ht="15.65" customHeight="1">
      <c r="A43" s="78"/>
    </row>
  </sheetData>
  <mergeCells count="5">
    <mergeCell ref="A1:F1"/>
    <mergeCell ref="A3:F3"/>
    <mergeCell ref="A4:B4"/>
    <mergeCell ref="C4:D4"/>
    <mergeCell ref="A2:F2"/>
  </mergeCells>
  <phoneticPr fontId="100" type="noConversion"/>
  <printOptions horizontalCentered="1"/>
  <pageMargins left="0.98425196850393704" right="0.78740157480314965" top="0.78740157480314965" bottom="0.74803149606299213" header="0.70866141732283472" footer="0.31496062992125984"/>
  <pageSetup paperSize="9" scale="55" orientation="portrait" blackAndWhite="1"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pageSetUpPr fitToPage="1"/>
  </sheetPr>
  <dimension ref="A1:C19"/>
  <sheetViews>
    <sheetView view="pageBreakPreview" zoomScale="80" zoomScaleNormal="70" zoomScaleSheetLayoutView="80" workbookViewId="0">
      <selection activeCell="K18" sqref="K18"/>
    </sheetView>
  </sheetViews>
  <sheetFormatPr defaultColWidth="8.58203125" defaultRowHeight="15"/>
  <cols>
    <col min="1" max="1" width="51.5" style="55" customWidth="1"/>
    <col min="2" max="3" width="17.58203125" style="93" customWidth="1"/>
    <col min="4" max="24" width="9" style="55" bestFit="1" customWidth="1"/>
    <col min="25" max="16384" width="8.58203125" style="55"/>
  </cols>
  <sheetData>
    <row r="1" spans="1:3" ht="30" customHeight="1">
      <c r="A1" s="492" t="str">
        <f>Basic!B1</f>
        <v>***公司</v>
      </c>
      <c r="B1" s="492"/>
      <c r="C1" s="492"/>
    </row>
    <row r="2" spans="1:3" ht="30" customHeight="1">
      <c r="A2" s="492" t="s">
        <v>36</v>
      </c>
      <c r="B2" s="492"/>
      <c r="C2" s="492"/>
    </row>
    <row r="3" spans="1:3" ht="25.5" customHeight="1">
      <c r="A3" s="457" t="s">
        <v>690</v>
      </c>
      <c r="B3" s="457"/>
      <c r="C3" s="457"/>
    </row>
    <row r="4" spans="1:3" ht="25.15" customHeight="1" thickBot="1">
      <c r="A4" s="46"/>
      <c r="B4" s="160"/>
      <c r="C4" s="93" t="s">
        <v>23</v>
      </c>
    </row>
    <row r="5" spans="1:3" ht="31.5" customHeight="1">
      <c r="A5" s="328" t="s">
        <v>24</v>
      </c>
      <c r="B5" s="329" t="s">
        <v>688</v>
      </c>
      <c r="C5" s="330" t="s">
        <v>689</v>
      </c>
    </row>
    <row r="6" spans="1:3" ht="34.5" customHeight="1">
      <c r="A6" s="331" t="s">
        <v>412</v>
      </c>
      <c r="B6" s="332"/>
      <c r="C6" s="333"/>
    </row>
    <row r="7" spans="1:3" ht="34.5" customHeight="1">
      <c r="A7" s="334" t="s">
        <v>413</v>
      </c>
      <c r="B7" s="335"/>
      <c r="C7" s="336"/>
    </row>
    <row r="8" spans="1:3" ht="34.5" customHeight="1">
      <c r="A8" s="334" t="s">
        <v>580</v>
      </c>
      <c r="B8" s="335"/>
      <c r="C8" s="336"/>
    </row>
    <row r="9" spans="1:3" ht="34.5" customHeight="1">
      <c r="A9" s="334" t="s">
        <v>414</v>
      </c>
      <c r="B9" s="335"/>
      <c r="C9" s="336"/>
    </row>
    <row r="10" spans="1:3" ht="34.5" customHeight="1">
      <c r="A10" s="334" t="s">
        <v>415</v>
      </c>
      <c r="B10" s="335"/>
      <c r="C10" s="336"/>
    </row>
    <row r="11" spans="1:3" ht="34.5" customHeight="1">
      <c r="A11" s="334" t="s">
        <v>416</v>
      </c>
      <c r="B11" s="337"/>
      <c r="C11" s="336"/>
    </row>
    <row r="12" spans="1:3" ht="34.5" customHeight="1">
      <c r="A12" s="338" t="s">
        <v>417</v>
      </c>
      <c r="B12" s="335"/>
      <c r="C12" s="336"/>
    </row>
    <row r="13" spans="1:3" ht="34.5" customHeight="1">
      <c r="A13" s="339" t="s">
        <v>418</v>
      </c>
      <c r="B13" s="340">
        <f>B6-B7-B8-B9-B10-B11+B12</f>
        <v>0</v>
      </c>
      <c r="C13" s="341">
        <f>C6-C7-C8-C9-C10-C11+C12</f>
        <v>0</v>
      </c>
    </row>
    <row r="14" spans="1:3" ht="34.5" customHeight="1">
      <c r="A14" s="342" t="s">
        <v>37</v>
      </c>
      <c r="B14" s="337"/>
      <c r="C14" s="336"/>
    </row>
    <row r="15" spans="1:3" ht="34.5" customHeight="1">
      <c r="A15" s="342" t="s">
        <v>38</v>
      </c>
      <c r="B15" s="343"/>
      <c r="C15" s="336"/>
    </row>
    <row r="16" spans="1:3" ht="34.5" customHeight="1">
      <c r="A16" s="344" t="s">
        <v>419</v>
      </c>
      <c r="B16" s="345">
        <f>B13+B14-B15</f>
        <v>0</v>
      </c>
      <c r="C16" s="346">
        <f>C13+C14-C15</f>
        <v>0</v>
      </c>
    </row>
    <row r="17" spans="1:3" ht="34.5" customHeight="1">
      <c r="A17" s="342" t="s">
        <v>39</v>
      </c>
      <c r="B17" s="343"/>
      <c r="C17" s="336"/>
    </row>
    <row r="18" spans="1:3" ht="34.5" customHeight="1" thickBot="1">
      <c r="A18" s="347" t="s">
        <v>420</v>
      </c>
      <c r="B18" s="348">
        <f>B16-B17</f>
        <v>0</v>
      </c>
      <c r="C18" s="349">
        <f>C16-C17</f>
        <v>0</v>
      </c>
    </row>
    <row r="19" spans="1:3" ht="34.5" customHeight="1">
      <c r="A19" s="350" t="s">
        <v>513</v>
      </c>
      <c r="B19" s="350" t="s">
        <v>514</v>
      </c>
      <c r="C19" s="350"/>
    </row>
  </sheetData>
  <mergeCells count="3">
    <mergeCell ref="A1:C1"/>
    <mergeCell ref="A3:C3"/>
    <mergeCell ref="A2:C2"/>
  </mergeCells>
  <phoneticPr fontId="100" type="noConversion"/>
  <printOptions horizontalCentered="1"/>
  <pageMargins left="0.98425196850393704" right="0.78740157480314965" top="0.78740157480314965" bottom="0.74803149606299213" header="0.70866141732283472" footer="0.31496062992125984"/>
  <pageSetup paperSize="9" scale="89" orientation="portrait" blackAndWhite="1"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0000"/>
    <pageSetUpPr fitToPage="1"/>
  </sheetPr>
  <dimension ref="A1:C21"/>
  <sheetViews>
    <sheetView view="pageBreakPreview" topLeftCell="A10" zoomScale="70" zoomScaleNormal="70" zoomScaleSheetLayoutView="70" workbookViewId="0">
      <selection activeCell="A9" sqref="A9"/>
    </sheetView>
  </sheetViews>
  <sheetFormatPr defaultColWidth="8.58203125" defaultRowHeight="15" customHeight="1"/>
  <cols>
    <col min="1" max="1" width="62.58203125" style="68" customWidth="1"/>
    <col min="2" max="3" width="27.25" style="69" customWidth="1"/>
    <col min="4" max="21" width="9" style="69" bestFit="1" customWidth="1"/>
    <col min="22" max="16384" width="8.58203125" style="69"/>
  </cols>
  <sheetData>
    <row r="1" spans="1:3" ht="41.25" customHeight="1">
      <c r="A1" s="458" t="str">
        <f>Basic!C1</f>
        <v>*****</v>
      </c>
      <c r="B1" s="458"/>
      <c r="C1" s="458"/>
    </row>
    <row r="2" spans="1:3" ht="41.25" customHeight="1">
      <c r="A2" s="458" t="s">
        <v>600</v>
      </c>
      <c r="B2" s="458"/>
      <c r="C2" s="458"/>
    </row>
    <row r="3" spans="1:3" ht="27" customHeight="1">
      <c r="A3" s="493" t="str">
        <f>Basic!C3</f>
        <v>For the year ended December 31, 2022</v>
      </c>
      <c r="B3" s="493"/>
      <c r="C3" s="493"/>
    </row>
    <row r="4" spans="1:3" s="66" customFormat="1" ht="21.75" customHeight="1" thickBot="1">
      <c r="A4" s="459"/>
      <c r="B4" s="459"/>
      <c r="C4" s="70" t="s">
        <v>683</v>
      </c>
    </row>
    <row r="5" spans="1:3" s="66" customFormat="1" ht="31.5" customHeight="1">
      <c r="A5" s="351" t="s">
        <v>3</v>
      </c>
      <c r="B5" s="352" t="s">
        <v>692</v>
      </c>
      <c r="C5" s="353" t="s">
        <v>703</v>
      </c>
    </row>
    <row r="6" spans="1:3" s="66" customFormat="1" ht="52.5" customHeight="1">
      <c r="A6" s="447" t="s">
        <v>680</v>
      </c>
      <c r="B6" s="354">
        <f>'2-PL(SmallBuz)-CN'!B6</f>
        <v>0</v>
      </c>
      <c r="C6" s="355">
        <f>'2-PL(SmallBuz)-CN'!C6</f>
        <v>0</v>
      </c>
    </row>
    <row r="7" spans="1:3" s="66" customFormat="1" ht="52.5" customHeight="1">
      <c r="A7" s="448" t="s">
        <v>681</v>
      </c>
      <c r="B7" s="356">
        <f>'2-PL(SmallBuz)-CN'!B7</f>
        <v>0</v>
      </c>
      <c r="C7" s="357">
        <f>'2-PL(SmallBuz)-CN'!C7</f>
        <v>0</v>
      </c>
    </row>
    <row r="8" spans="1:3" s="66" customFormat="1" ht="52.5" customHeight="1">
      <c r="A8" s="358" t="s">
        <v>456</v>
      </c>
      <c r="B8" s="356">
        <f>'2-PL(SmallBuz)-CN'!B8</f>
        <v>0</v>
      </c>
      <c r="C8" s="357">
        <f>'2-PL(SmallBuz)-CN'!C8</f>
        <v>0</v>
      </c>
    </row>
    <row r="9" spans="1:3" s="66" customFormat="1" ht="52.5" customHeight="1">
      <c r="A9" s="358" t="s">
        <v>584</v>
      </c>
      <c r="B9" s="356">
        <f>'2-PL(SmallBuz)-CN'!B9</f>
        <v>0</v>
      </c>
      <c r="C9" s="357">
        <f>'2-PL(SmallBuz)-CN'!C9</f>
        <v>0</v>
      </c>
    </row>
    <row r="10" spans="1:3" s="66" customFormat="1" ht="52.5" customHeight="1">
      <c r="A10" s="358" t="s">
        <v>585</v>
      </c>
      <c r="B10" s="356">
        <f>'2-PL(SmallBuz)-CN'!B10</f>
        <v>0</v>
      </c>
      <c r="C10" s="357">
        <f>'2-PL(SmallBuz)-CN'!C10</f>
        <v>0</v>
      </c>
    </row>
    <row r="11" spans="1:3" s="66" customFormat="1" ht="52.5" customHeight="1">
      <c r="A11" s="359" t="s">
        <v>586</v>
      </c>
      <c r="B11" s="356">
        <f>'2-PL(SmallBuz)-CN'!B11</f>
        <v>0</v>
      </c>
      <c r="C11" s="357">
        <f>'2-PL(SmallBuz)-CN'!C11</f>
        <v>0</v>
      </c>
    </row>
    <row r="12" spans="1:3" s="66" customFormat="1" ht="52.5" customHeight="1">
      <c r="A12" s="360" t="s">
        <v>587</v>
      </c>
      <c r="B12" s="356">
        <f>'2-PL(SmallBuz)-CN'!B12</f>
        <v>0</v>
      </c>
      <c r="C12" s="357">
        <f>'2-PL(SmallBuz)-CN'!C12</f>
        <v>0</v>
      </c>
    </row>
    <row r="13" spans="1:3" s="66" customFormat="1" ht="52.5" customHeight="1">
      <c r="A13" s="361" t="s">
        <v>588</v>
      </c>
      <c r="B13" s="354">
        <f>B6-B7-B8-B9-B10-B11+B12</f>
        <v>0</v>
      </c>
      <c r="C13" s="355">
        <f>C6-C7-C8-C9-C10-C11+C12</f>
        <v>0</v>
      </c>
    </row>
    <row r="14" spans="1:3" s="66" customFormat="1" ht="52.5" customHeight="1">
      <c r="A14" s="359" t="s">
        <v>582</v>
      </c>
      <c r="B14" s="356">
        <f>'2-PL(SmallBuz)-CN'!B14</f>
        <v>0</v>
      </c>
      <c r="C14" s="357">
        <f>'2-PL(SmallBuz)-CN'!C14</f>
        <v>0</v>
      </c>
    </row>
    <row r="15" spans="1:3" s="66" customFormat="1" ht="52.5" customHeight="1">
      <c r="A15" s="359" t="s">
        <v>583</v>
      </c>
      <c r="B15" s="356">
        <f>'2-PL(SmallBuz)-CN'!B15</f>
        <v>0</v>
      </c>
      <c r="C15" s="357">
        <f>'2-PL(SmallBuz)-CN'!C15</f>
        <v>0</v>
      </c>
    </row>
    <row r="16" spans="1:3" s="66" customFormat="1" ht="52.5" customHeight="1">
      <c r="A16" s="362" t="s">
        <v>589</v>
      </c>
      <c r="B16" s="354">
        <f>B13+B14-B15</f>
        <v>0</v>
      </c>
      <c r="C16" s="355">
        <f>C13+C14-C15</f>
        <v>0</v>
      </c>
    </row>
    <row r="17" spans="1:3" s="66" customFormat="1" ht="52.5" customHeight="1">
      <c r="A17" s="358" t="s">
        <v>590</v>
      </c>
      <c r="B17" s="356">
        <f>'2-PL(SmallBuz)-CN'!B17</f>
        <v>0</v>
      </c>
      <c r="C17" s="357">
        <f>'2-PL(SmallBuz)-CN'!C17</f>
        <v>0</v>
      </c>
    </row>
    <row r="18" spans="1:3" s="66" customFormat="1" ht="52.5" customHeight="1" thickBot="1">
      <c r="A18" s="363" t="s">
        <v>591</v>
      </c>
      <c r="B18" s="364">
        <f>B16-B17</f>
        <v>0</v>
      </c>
      <c r="C18" s="365">
        <f>C16-C17</f>
        <v>0</v>
      </c>
    </row>
    <row r="19" spans="1:3" s="67" customFormat="1" ht="42.75" customHeight="1">
      <c r="A19" s="416" t="s">
        <v>668</v>
      </c>
      <c r="B19" s="416" t="s">
        <v>667</v>
      </c>
      <c r="C19" s="416"/>
    </row>
    <row r="21" spans="1:3" s="299" customFormat="1" ht="23.25" customHeight="1">
      <c r="A21" s="298"/>
      <c r="B21" s="300">
        <f>B18-'2-PL(SmallBuz)-CN'!B18</f>
        <v>0</v>
      </c>
      <c r="C21" s="300">
        <f>C18-'2-PL(SmallBuz)-CN'!C18</f>
        <v>0</v>
      </c>
    </row>
  </sheetData>
  <mergeCells count="4">
    <mergeCell ref="A1:C1"/>
    <mergeCell ref="A3:C3"/>
    <mergeCell ref="A4:B4"/>
    <mergeCell ref="A2:C2"/>
  </mergeCells>
  <phoneticPr fontId="100" type="noConversion"/>
  <printOptions horizontalCentered="1"/>
  <pageMargins left="0.98425196850393704" right="0.78740157480314965" top="0.78740157480314965" bottom="0.74803149606299213" header="0.70866141732283472" footer="0.31496062992125984"/>
  <pageSetup paperSize="9" scale="66" orientation="portrait" blackAndWhite="1"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G50"/>
  <sheetViews>
    <sheetView topLeftCell="A16" zoomScale="130" workbookViewId="0">
      <selection activeCell="B8" sqref="B8:C8"/>
    </sheetView>
  </sheetViews>
  <sheetFormatPr defaultRowHeight="15"/>
  <cols>
    <col min="1" max="1" width="18.08203125" style="1" customWidth="1"/>
    <col min="2" max="2" width="16" customWidth="1"/>
    <col min="3" max="3" width="9.08203125" customWidth="1"/>
    <col min="4" max="4" width="15" customWidth="1"/>
    <col min="5" max="5" width="10.58203125" customWidth="1"/>
    <col min="6" max="6" width="14.58203125" customWidth="1"/>
    <col min="7" max="7" width="17.75" customWidth="1"/>
    <col min="8" max="8" width="14.25" customWidth="1"/>
  </cols>
  <sheetData>
    <row r="1" spans="1:7">
      <c r="A1" s="536" t="s">
        <v>107</v>
      </c>
      <c r="B1" s="536"/>
      <c r="C1" s="536"/>
      <c r="D1" s="536"/>
      <c r="E1" s="536"/>
      <c r="F1" s="536"/>
      <c r="G1" s="2"/>
    </row>
    <row r="2" spans="1:7">
      <c r="A2" s="537" t="s">
        <v>108</v>
      </c>
      <c r="B2" s="538"/>
      <c r="C2" s="538"/>
      <c r="D2" s="538"/>
      <c r="E2" s="538"/>
      <c r="F2" s="539"/>
      <c r="G2" s="2"/>
    </row>
    <row r="3" spans="1:7">
      <c r="A3" s="3" t="s">
        <v>109</v>
      </c>
      <c r="B3" s="540"/>
      <c r="C3" s="541"/>
      <c r="D3" s="4" t="s">
        <v>110</v>
      </c>
      <c r="E3" s="540"/>
      <c r="F3" s="541"/>
      <c r="G3" s="2"/>
    </row>
    <row r="4" spans="1:7">
      <c r="A4" s="5" t="s">
        <v>111</v>
      </c>
      <c r="B4" s="542"/>
      <c r="C4" s="543"/>
      <c r="D4" s="6" t="s">
        <v>112</v>
      </c>
      <c r="E4" s="542"/>
      <c r="F4" s="543"/>
      <c r="G4" s="2"/>
    </row>
    <row r="5" spans="1:7">
      <c r="A5" s="7" t="s">
        <v>113</v>
      </c>
      <c r="B5" s="530"/>
      <c r="C5" s="531"/>
      <c r="D5" s="8" t="s">
        <v>114</v>
      </c>
      <c r="E5" s="530"/>
      <c r="F5" s="531"/>
      <c r="G5" s="2"/>
    </row>
    <row r="6" spans="1:7">
      <c r="A6" s="497" t="s">
        <v>115</v>
      </c>
      <c r="B6" s="526"/>
      <c r="C6" s="526"/>
      <c r="D6" s="526"/>
      <c r="E6" s="526"/>
      <c r="F6" s="527"/>
      <c r="G6" s="2"/>
    </row>
    <row r="7" spans="1:7">
      <c r="A7" s="3" t="s">
        <v>116</v>
      </c>
      <c r="B7" s="532" t="s">
        <v>117</v>
      </c>
      <c r="C7" s="533"/>
      <c r="D7" s="9" t="s">
        <v>118</v>
      </c>
      <c r="E7" s="534" t="s">
        <v>119</v>
      </c>
      <c r="F7" s="535"/>
      <c r="G7" s="2"/>
    </row>
    <row r="8" spans="1:7" ht="28">
      <c r="A8" s="10" t="s">
        <v>120</v>
      </c>
      <c r="B8" s="524" t="s">
        <v>121</v>
      </c>
      <c r="C8" s="525"/>
      <c r="D8" s="11" t="s">
        <v>122</v>
      </c>
      <c r="E8" s="524" t="s">
        <v>123</v>
      </c>
      <c r="F8" s="525"/>
      <c r="G8" s="2"/>
    </row>
    <row r="9" spans="1:7">
      <c r="A9" s="497" t="s">
        <v>124</v>
      </c>
      <c r="B9" s="526"/>
      <c r="C9" s="526"/>
      <c r="D9" s="526"/>
      <c r="E9" s="526"/>
      <c r="F9" s="527"/>
      <c r="G9" s="2"/>
    </row>
    <row r="10" spans="1:7">
      <c r="A10" s="12" t="s">
        <v>125</v>
      </c>
      <c r="B10" s="13" t="s">
        <v>126</v>
      </c>
      <c r="C10" s="528" t="s">
        <v>127</v>
      </c>
      <c r="D10" s="529"/>
      <c r="E10" s="528" t="s">
        <v>128</v>
      </c>
      <c r="F10" s="529"/>
      <c r="G10" s="2"/>
    </row>
    <row r="11" spans="1:7">
      <c r="A11" s="512" t="s">
        <v>129</v>
      </c>
      <c r="B11" s="513"/>
      <c r="C11" s="513"/>
      <c r="D11" s="514"/>
      <c r="E11" s="515" t="s">
        <v>130</v>
      </c>
      <c r="F11" s="516"/>
      <c r="G11" s="14"/>
    </row>
    <row r="12" spans="1:7">
      <c r="A12" s="517" t="s">
        <v>131</v>
      </c>
      <c r="B12" s="518"/>
      <c r="C12" s="518"/>
      <c r="D12" s="518"/>
      <c r="E12" s="518"/>
      <c r="F12" s="519"/>
    </row>
    <row r="13" spans="1:7" ht="42.75" customHeight="1">
      <c r="A13" s="15" t="s">
        <v>132</v>
      </c>
      <c r="B13" s="16">
        <f>E3</f>
        <v>0</v>
      </c>
      <c r="C13" s="520"/>
      <c r="D13" s="521"/>
      <c r="E13" s="17" t="s">
        <v>133</v>
      </c>
      <c r="F13" s="12"/>
    </row>
    <row r="14" spans="1:7" ht="39.75" customHeight="1">
      <c r="A14" s="18" t="s">
        <v>134</v>
      </c>
      <c r="B14" s="19">
        <f>B3</f>
        <v>0</v>
      </c>
      <c r="C14" s="522"/>
      <c r="D14" s="523"/>
      <c r="E14" s="20" t="s">
        <v>135</v>
      </c>
      <c r="F14" s="20" t="s">
        <v>136</v>
      </c>
    </row>
    <row r="15" spans="1:7">
      <c r="A15" s="508" t="s">
        <v>137</v>
      </c>
      <c r="B15" s="509"/>
      <c r="C15" s="508" t="s">
        <v>138</v>
      </c>
      <c r="D15" s="509"/>
      <c r="E15" s="510" t="s">
        <v>139</v>
      </c>
      <c r="F15" s="510"/>
    </row>
    <row r="16" spans="1:7">
      <c r="A16" s="494" t="s">
        <v>140</v>
      </c>
      <c r="B16" s="496"/>
      <c r="C16" s="508"/>
      <c r="D16" s="509"/>
      <c r="E16" s="508"/>
      <c r="F16" s="509"/>
    </row>
    <row r="17" spans="1:6">
      <c r="A17" s="506" t="s">
        <v>141</v>
      </c>
      <c r="B17" s="507"/>
      <c r="C17" s="511" t="str">
        <f>'1-BS_CN'!C21</f>
        <v>——</v>
      </c>
      <c r="D17" s="509"/>
      <c r="E17" s="511" t="str">
        <f>'1-BS_CN'!B21</f>
        <v>——</v>
      </c>
      <c r="F17" s="509"/>
    </row>
    <row r="18" spans="1:6">
      <c r="A18" s="506" t="s">
        <v>142</v>
      </c>
      <c r="B18" s="507"/>
      <c r="C18" s="511" t="e">
        <f>'1-BS_CN'!#REF!</f>
        <v>#REF!</v>
      </c>
      <c r="D18" s="509"/>
      <c r="E18" s="511" t="e">
        <f>'1-BS_CN'!#REF!</f>
        <v>#REF!</v>
      </c>
      <c r="F18" s="509"/>
    </row>
    <row r="19" spans="1:6">
      <c r="A19" s="494" t="s">
        <v>143</v>
      </c>
      <c r="B19" s="496"/>
      <c r="C19" s="508"/>
      <c r="D19" s="509"/>
      <c r="E19" s="508"/>
      <c r="F19" s="509"/>
    </row>
    <row r="20" spans="1:6">
      <c r="A20" s="506" t="s">
        <v>144</v>
      </c>
      <c r="B20" s="507"/>
      <c r="C20" s="508"/>
      <c r="D20" s="509"/>
      <c r="E20" s="508"/>
      <c r="F20" s="509"/>
    </row>
    <row r="21" spans="1:6">
      <c r="A21" s="506" t="s">
        <v>145</v>
      </c>
      <c r="B21" s="507"/>
      <c r="C21" s="508"/>
      <c r="D21" s="509"/>
      <c r="E21" s="508"/>
      <c r="F21" s="509"/>
    </row>
    <row r="22" spans="1:6">
      <c r="A22" s="494" t="s">
        <v>146</v>
      </c>
      <c r="B22" s="496"/>
      <c r="C22" s="511" t="e">
        <f>'1-BS_CN'!F46*E11</f>
        <v>#VALUE!</v>
      </c>
      <c r="D22" s="509"/>
      <c r="E22" s="508" t="e">
        <f>'1-BS_CN'!E46*E11</f>
        <v>#VALUE!</v>
      </c>
      <c r="F22" s="509"/>
    </row>
    <row r="23" spans="1:6">
      <c r="A23" s="494" t="s">
        <v>147</v>
      </c>
      <c r="B23" s="496"/>
      <c r="C23" s="508" t="e">
        <f>C24+E23</f>
        <v>#REF!</v>
      </c>
      <c r="D23" s="509"/>
      <c r="E23" s="508" t="e">
        <f>E24+E25</f>
        <v>#REF!</v>
      </c>
      <c r="F23" s="509"/>
    </row>
    <row r="24" spans="1:6">
      <c r="A24" s="506" t="s">
        <v>148</v>
      </c>
      <c r="B24" s="507"/>
      <c r="C24" s="508" t="e">
        <f>'1-BS_CN'!#REF!*E11</f>
        <v>#REF!</v>
      </c>
      <c r="D24" s="509"/>
      <c r="E24" s="508" t="e">
        <f>'1-BS_CN'!#REF!*E11</f>
        <v>#REF!</v>
      </c>
      <c r="F24" s="509"/>
    </row>
    <row r="25" spans="1:6">
      <c r="A25" s="506" t="s">
        <v>149</v>
      </c>
      <c r="B25" s="507"/>
      <c r="C25" s="508" t="e">
        <f>SUM(C26:D28)</f>
        <v>#REF!</v>
      </c>
      <c r="D25" s="509"/>
      <c r="E25" s="508" t="e">
        <f>SUM(E26:F28)</f>
        <v>#REF!</v>
      </c>
      <c r="F25" s="509"/>
    </row>
    <row r="26" spans="1:6">
      <c r="A26" s="506" t="s">
        <v>150</v>
      </c>
      <c r="B26" s="507"/>
      <c r="C26" s="508" t="e">
        <f>'1-BS_CN'!#REF!*E11</f>
        <v>#REF!</v>
      </c>
      <c r="D26" s="509"/>
      <c r="E26" s="508" t="e">
        <f>'1-BS_CN'!#REF!*E11</f>
        <v>#REF!</v>
      </c>
      <c r="F26" s="509"/>
    </row>
    <row r="27" spans="1:6">
      <c r="A27" s="506" t="s">
        <v>46</v>
      </c>
      <c r="B27" s="507"/>
      <c r="C27" s="508" t="e">
        <f>'1-BS_CN'!#REF!*E11</f>
        <v>#REF!</v>
      </c>
      <c r="D27" s="509"/>
      <c r="E27" s="508" t="e">
        <f>'1-BS_CN'!#REF!*E11</f>
        <v>#REF!</v>
      </c>
      <c r="F27" s="509"/>
    </row>
    <row r="28" spans="1:6">
      <c r="A28" s="506" t="s">
        <v>47</v>
      </c>
      <c r="B28" s="507"/>
      <c r="C28" s="508" t="e">
        <f>'1-BS_CN'!#REF!*E11</f>
        <v>#REF!</v>
      </c>
      <c r="D28" s="509"/>
      <c r="E28" s="508" t="e">
        <f>'1-BS_CN'!#REF!*E11</f>
        <v>#REF!</v>
      </c>
      <c r="F28" s="509"/>
    </row>
    <row r="29" spans="1:6">
      <c r="A29" s="506" t="s">
        <v>151</v>
      </c>
      <c r="B29" s="507"/>
      <c r="C29" s="508"/>
      <c r="D29" s="509"/>
      <c r="E29" s="508"/>
      <c r="F29" s="509"/>
    </row>
    <row r="30" spans="1:6">
      <c r="A30" s="494" t="s">
        <v>152</v>
      </c>
      <c r="B30" s="496"/>
      <c r="C30" s="511" t="e">
        <f>C22-C23</f>
        <v>#VALUE!</v>
      </c>
      <c r="D30" s="509"/>
      <c r="E30" s="508" t="e">
        <f>E22-E23</f>
        <v>#VALUE!</v>
      </c>
      <c r="F30" s="509"/>
    </row>
    <row r="31" spans="1:6">
      <c r="A31" s="494" t="s">
        <v>153</v>
      </c>
      <c r="B31" s="496"/>
      <c r="C31" s="508" t="e">
        <f>'1-BS_CN'!#REF!*E11</f>
        <v>#REF!</v>
      </c>
      <c r="D31" s="509"/>
      <c r="E31" s="508" t="e">
        <f>'1-BS_CN'!#REF!*E11</f>
        <v>#REF!</v>
      </c>
      <c r="F31" s="509"/>
    </row>
    <row r="32" spans="1:6">
      <c r="A32" s="494" t="s">
        <v>154</v>
      </c>
      <c r="B32" s="496"/>
      <c r="C32" s="508"/>
      <c r="D32" s="509"/>
      <c r="E32" s="508"/>
      <c r="F32" s="509"/>
    </row>
    <row r="33" spans="1:6">
      <c r="A33" s="494" t="s">
        <v>155</v>
      </c>
      <c r="B33" s="496"/>
      <c r="C33" s="508" t="s">
        <v>156</v>
      </c>
      <c r="D33" s="509"/>
      <c r="E33" s="510" t="s">
        <v>157</v>
      </c>
      <c r="F33" s="510"/>
    </row>
    <row r="34" spans="1:6">
      <c r="A34" s="506" t="s">
        <v>158</v>
      </c>
      <c r="B34" s="507"/>
      <c r="C34" s="511" t="e">
        <f>'2-PL_CN'!#REF!</f>
        <v>#REF!</v>
      </c>
      <c r="D34" s="509"/>
      <c r="E34" s="508"/>
      <c r="F34" s="509"/>
    </row>
    <row r="35" spans="1:6">
      <c r="A35" s="506" t="s">
        <v>159</v>
      </c>
      <c r="B35" s="507"/>
      <c r="C35" s="508" t="e">
        <f>'2-PL_CN'!#REF!*E11</f>
        <v>#REF!</v>
      </c>
      <c r="D35" s="509"/>
      <c r="E35" s="508"/>
      <c r="F35" s="509"/>
    </row>
    <row r="36" spans="1:6">
      <c r="A36" s="506" t="s">
        <v>160</v>
      </c>
      <c r="B36" s="507"/>
      <c r="C36" s="508"/>
      <c r="D36" s="509"/>
      <c r="E36" s="508"/>
      <c r="F36" s="509"/>
    </row>
    <row r="37" spans="1:6">
      <c r="A37" s="506" t="s">
        <v>161</v>
      </c>
      <c r="B37" s="507"/>
      <c r="C37" s="508"/>
      <c r="D37" s="509"/>
      <c r="E37" s="508"/>
      <c r="F37" s="509"/>
    </row>
    <row r="38" spans="1:6">
      <c r="A38" s="494" t="s">
        <v>162</v>
      </c>
      <c r="B38" s="496"/>
      <c r="C38" s="508"/>
      <c r="D38" s="509"/>
      <c r="E38" s="508"/>
      <c r="F38" s="509"/>
    </row>
    <row r="39" spans="1:6">
      <c r="A39" s="494" t="s">
        <v>163</v>
      </c>
      <c r="B39" s="495"/>
      <c r="C39" s="495"/>
      <c r="D39" s="495"/>
      <c r="E39" s="495"/>
      <c r="F39" s="496"/>
    </row>
    <row r="40" spans="1:6" ht="30" customHeight="1">
      <c r="A40" s="21" t="s">
        <v>164</v>
      </c>
      <c r="B40" s="22" t="s">
        <v>165</v>
      </c>
      <c r="C40" s="21" t="s">
        <v>47</v>
      </c>
      <c r="D40" s="21" t="s">
        <v>166</v>
      </c>
      <c r="E40" s="23" t="s">
        <v>46</v>
      </c>
      <c r="F40" s="21" t="s">
        <v>167</v>
      </c>
    </row>
    <row r="41" spans="1:6">
      <c r="A41" s="24"/>
      <c r="B41" s="24"/>
      <c r="C41" s="24"/>
      <c r="D41" s="24"/>
      <c r="E41" s="24"/>
      <c r="F41" s="24"/>
    </row>
    <row r="42" spans="1:6">
      <c r="A42" s="494" t="s">
        <v>168</v>
      </c>
      <c r="B42" s="495"/>
      <c r="C42" s="495"/>
      <c r="D42" s="495"/>
      <c r="E42" s="495"/>
      <c r="F42" s="496"/>
    </row>
    <row r="43" spans="1:6" ht="30" customHeight="1">
      <c r="A43" s="21" t="s">
        <v>164</v>
      </c>
      <c r="B43" s="21" t="s">
        <v>165</v>
      </c>
      <c r="C43" s="21" t="s">
        <v>47</v>
      </c>
      <c r="D43" s="21" t="s">
        <v>45</v>
      </c>
      <c r="E43" s="21" t="s">
        <v>46</v>
      </c>
      <c r="F43" s="21" t="s">
        <v>167</v>
      </c>
    </row>
    <row r="44" spans="1:6">
      <c r="A44" s="25"/>
      <c r="B44" s="25"/>
      <c r="C44" s="25"/>
      <c r="D44" s="25"/>
      <c r="E44" s="25"/>
      <c r="F44" s="25"/>
    </row>
    <row r="45" spans="1:6">
      <c r="A45" s="497" t="s">
        <v>169</v>
      </c>
      <c r="B45" s="498"/>
      <c r="C45" s="498"/>
      <c r="D45" s="498"/>
      <c r="E45" s="498"/>
      <c r="F45" s="499"/>
    </row>
    <row r="46" spans="1:6" ht="158.25" customHeight="1">
      <c r="A46" s="500" t="s">
        <v>170</v>
      </c>
      <c r="B46" s="501"/>
      <c r="C46" s="501"/>
      <c r="D46" s="501"/>
      <c r="E46" s="501"/>
      <c r="F46" s="502"/>
    </row>
    <row r="47" spans="1:6" ht="103.5" customHeight="1">
      <c r="A47" s="500"/>
      <c r="B47" s="501"/>
      <c r="C47" s="501"/>
      <c r="D47" s="501"/>
      <c r="E47" s="501"/>
      <c r="F47" s="502"/>
    </row>
    <row r="48" spans="1:6" ht="171.75" customHeight="1">
      <c r="A48" s="500"/>
      <c r="B48" s="501"/>
      <c r="C48" s="501"/>
      <c r="D48" s="501"/>
      <c r="E48" s="501"/>
      <c r="F48" s="502"/>
    </row>
    <row r="49" spans="1:6" ht="156" customHeight="1">
      <c r="A49" s="500"/>
      <c r="B49" s="501"/>
      <c r="C49" s="501"/>
      <c r="D49" s="501"/>
      <c r="E49" s="501"/>
      <c r="F49" s="502"/>
    </row>
    <row r="50" spans="1:6" ht="108" customHeight="1">
      <c r="A50" s="503"/>
      <c r="B50" s="504"/>
      <c r="C50" s="504"/>
      <c r="D50" s="504"/>
      <c r="E50" s="504"/>
      <c r="F50" s="505"/>
    </row>
  </sheetData>
  <mergeCells count="97">
    <mergeCell ref="A1:F1"/>
    <mergeCell ref="A2:F2"/>
    <mergeCell ref="B3:C3"/>
    <mergeCell ref="E3:F3"/>
    <mergeCell ref="B4:C4"/>
    <mergeCell ref="E4:F4"/>
    <mergeCell ref="B5:C5"/>
    <mergeCell ref="E5:F5"/>
    <mergeCell ref="A6:F6"/>
    <mergeCell ref="B7:C7"/>
    <mergeCell ref="E7:F7"/>
    <mergeCell ref="B8:C8"/>
    <mergeCell ref="E8:F8"/>
    <mergeCell ref="A9:F9"/>
    <mergeCell ref="C10:D10"/>
    <mergeCell ref="E10:F10"/>
    <mergeCell ref="A11:D11"/>
    <mergeCell ref="E11:F11"/>
    <mergeCell ref="A12:F12"/>
    <mergeCell ref="C13:D13"/>
    <mergeCell ref="C14:D14"/>
    <mergeCell ref="A15:B15"/>
    <mergeCell ref="C15:D15"/>
    <mergeCell ref="E15:F15"/>
    <mergeCell ref="A16:B16"/>
    <mergeCell ref="C16:D16"/>
    <mergeCell ref="E16:F16"/>
    <mergeCell ref="A17:B17"/>
    <mergeCell ref="C17:D17"/>
    <mergeCell ref="E17:F17"/>
    <mergeCell ref="A18:B18"/>
    <mergeCell ref="C18:D18"/>
    <mergeCell ref="E18:F18"/>
    <mergeCell ref="A19:B19"/>
    <mergeCell ref="C19:D19"/>
    <mergeCell ref="E19:F19"/>
    <mergeCell ref="A20:B20"/>
    <mergeCell ref="C20:D20"/>
    <mergeCell ref="E20:F20"/>
    <mergeCell ref="A21:B21"/>
    <mergeCell ref="C21:D21"/>
    <mergeCell ref="E21:F21"/>
    <mergeCell ref="A22:B22"/>
    <mergeCell ref="C22:D22"/>
    <mergeCell ref="E22:F22"/>
    <mergeCell ref="A23:B23"/>
    <mergeCell ref="C23:D23"/>
    <mergeCell ref="E23:F23"/>
    <mergeCell ref="A24:B24"/>
    <mergeCell ref="C24:D24"/>
    <mergeCell ref="E24:F24"/>
    <mergeCell ref="A25:B25"/>
    <mergeCell ref="C25:D25"/>
    <mergeCell ref="E25:F25"/>
    <mergeCell ref="A26:B26"/>
    <mergeCell ref="C26:D26"/>
    <mergeCell ref="E26:F26"/>
    <mergeCell ref="A27:B27"/>
    <mergeCell ref="C27:D27"/>
    <mergeCell ref="E27:F27"/>
    <mergeCell ref="A28:B28"/>
    <mergeCell ref="C28:D28"/>
    <mergeCell ref="E28:F28"/>
    <mergeCell ref="A29:B29"/>
    <mergeCell ref="C29:D29"/>
    <mergeCell ref="E29:F29"/>
    <mergeCell ref="A30:B30"/>
    <mergeCell ref="C30:D30"/>
    <mergeCell ref="E30:F30"/>
    <mergeCell ref="A31:B31"/>
    <mergeCell ref="C31:D31"/>
    <mergeCell ref="E31:F31"/>
    <mergeCell ref="A32:B32"/>
    <mergeCell ref="C32:D32"/>
    <mergeCell ref="E32:F32"/>
    <mergeCell ref="A33:B33"/>
    <mergeCell ref="C33:D33"/>
    <mergeCell ref="E33:F33"/>
    <mergeCell ref="A34:B34"/>
    <mergeCell ref="C34:D34"/>
    <mergeCell ref="E34:F34"/>
    <mergeCell ref="A35:B35"/>
    <mergeCell ref="C35:D35"/>
    <mergeCell ref="E35:F35"/>
    <mergeCell ref="A36:B36"/>
    <mergeCell ref="C36:D36"/>
    <mergeCell ref="E36:F36"/>
    <mergeCell ref="A39:F39"/>
    <mergeCell ref="A42:F42"/>
    <mergeCell ref="A45:F45"/>
    <mergeCell ref="A46:F50"/>
    <mergeCell ref="A37:B37"/>
    <mergeCell ref="C37:D37"/>
    <mergeCell ref="E37:F37"/>
    <mergeCell ref="A38:B38"/>
    <mergeCell ref="C38:D38"/>
    <mergeCell ref="E38:F38"/>
  </mergeCells>
  <phoneticPr fontId="14" type="noConversion"/>
  <pageMargins left="0.71" right="0.71" top="0.75" bottom="0.75" header="0.31" footer="0.31"/>
  <pageSetup paperSize="9" orientation="portrait" verticalDpi="0" r:id="rId1"/>
</worksheet>
</file>

<file path=docProps/app.xml><?xml version="1.0" encoding="utf-8"?>
<Properties xmlns="http://schemas.openxmlformats.org/officeDocument/2006/extended-properties" xmlns:vt="http://schemas.openxmlformats.org/officeDocument/2006/docPropsVTypes">
  <Templat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4" baseType="variant">
      <vt:variant>
        <vt:lpstr>工作表</vt:lpstr>
      </vt:variant>
      <vt:variant>
        <vt:i4>15</vt:i4>
      </vt:variant>
      <vt:variant>
        <vt:lpstr>命名范围</vt:lpstr>
      </vt:variant>
      <vt:variant>
        <vt:i4>11</vt:i4>
      </vt:variant>
    </vt:vector>
  </HeadingPairs>
  <TitlesOfParts>
    <vt:vector size="26" baseType="lpstr">
      <vt:lpstr>Basic</vt:lpstr>
      <vt:lpstr>1-BS_CN</vt:lpstr>
      <vt:lpstr>1-BS_EN</vt:lpstr>
      <vt:lpstr>2-PL_CN</vt:lpstr>
      <vt:lpstr>2-PL_EN</vt:lpstr>
      <vt:lpstr>3-CF_CN+EN</vt:lpstr>
      <vt:lpstr>4-OE_CN</vt:lpstr>
      <vt:lpstr>4-OE_EN</vt:lpstr>
      <vt:lpstr>6-CIT_CN</vt:lpstr>
      <vt:lpstr>6-CIT_EN</vt:lpstr>
      <vt:lpstr>1-BS(SmallBuz)-CN</vt:lpstr>
      <vt:lpstr>1-BS(SmallBuz)-EN</vt:lpstr>
      <vt:lpstr>2-PL(SmallBuz)-CN</vt:lpstr>
      <vt:lpstr>2-PL(SmallBuz)-EN</vt:lpstr>
      <vt:lpstr>境内直接投资外方权益统计表</vt:lpstr>
      <vt:lpstr>'1-BS(SmallBuz)-CN'!Print_Area</vt:lpstr>
      <vt:lpstr>'1-BS(SmallBuz)-EN'!Print_Area</vt:lpstr>
      <vt:lpstr>'1-BS_CN'!Print_Area</vt:lpstr>
      <vt:lpstr>'1-BS_EN'!Print_Area</vt:lpstr>
      <vt:lpstr>'2-PL(SmallBuz)-EN'!Print_Area</vt:lpstr>
      <vt:lpstr>'2-PL_EN'!Print_Area</vt:lpstr>
      <vt:lpstr>'3-CF_CN+EN'!Print_Area</vt:lpstr>
      <vt:lpstr>'4-OE_CN'!Print_Area</vt:lpstr>
      <vt:lpstr>'4-OE_EN'!Print_Area</vt:lpstr>
      <vt:lpstr>'6-CIT_CN'!Print_Area</vt:lpstr>
      <vt:lpstr>'6-CIT_EN'!Print_Area</vt:lpstr>
    </vt:vector>
  </TitlesOfParts>
  <LinksUpToDate>false</LinksUpToDate>
  <CharactersWithSpaces>0</CharactersWithSpaces>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Diacron CPA</dc:creator>
  <cp:lastModifiedBy>方一舟</cp:lastModifiedBy>
  <cp:revision>1</cp:revision>
  <cp:lastPrinted>2022-11-03T02:09:28Z</cp:lastPrinted>
  <dcterms:created xsi:type="dcterms:W3CDTF">2013-11-17T11:39:05Z</dcterms:created>
  <dcterms:modified xsi:type="dcterms:W3CDTF">2023-03-27T10:22:52Z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2052-10.1.0.5346</vt:lpwstr>
  </property>
</Properties>
</file>